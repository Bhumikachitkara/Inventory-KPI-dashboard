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acer\Downloads\"/>
    </mc:Choice>
  </mc:AlternateContent>
  <xr:revisionPtr revIDLastSave="0" documentId="13_ncr:1_{C4BAA524-4367-4FAC-9B53-8C39522AEA0F}" xr6:coauthVersionLast="47" xr6:coauthVersionMax="47" xr10:uidLastSave="{00000000-0000-0000-0000-000000000000}"/>
  <bookViews>
    <workbookView xWindow="-108" yWindow="-108" windowWidth="23256" windowHeight="12456" tabRatio="776" firstSheet="1" activeTab="7" xr2:uid="{FF959419-62FC-4061-9663-56EBC4736BA8}"/>
  </bookViews>
  <sheets>
    <sheet name="raw data" sheetId="1" r:id="rId1"/>
    <sheet name="KPIs" sheetId="4" r:id="rId2"/>
    <sheet name="Stock By Category" sheetId="5" r:id="rId3"/>
    <sheet name="Stock Value By Category" sheetId="6" r:id="rId4"/>
    <sheet name="Low Stock Products" sheetId="8" r:id="rId5"/>
    <sheet name="Top 10 Products By Stock Value " sheetId="9" r:id="rId6"/>
    <sheet name="Inventory Analysis" sheetId="3" r:id="rId7"/>
    <sheet name="Inventory Dashboard" sheetId="13" r:id="rId8"/>
  </sheets>
  <definedNames>
    <definedName name="_xlnm._FilterDatabase" localSheetId="0" hidden="1">'raw data'!$A$1:$E$201</definedName>
    <definedName name="Slicer_Category">#N/A</definedName>
    <definedName name="Slicer_Stock_Level">#N/A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J1" i="1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F2" i="3"/>
  <c r="A1" i="1"/>
  <c r="E1" i="1"/>
  <c r="D1" i="1"/>
  <c r="C1" i="1"/>
  <c r="B1" i="1"/>
</calcChain>
</file>

<file path=xl/sharedStrings.xml><?xml version="1.0" encoding="utf-8"?>
<sst xmlns="http://schemas.openxmlformats.org/spreadsheetml/2006/main" count="913" uniqueCount="220">
  <si>
    <t>Organic Bananas</t>
  </si>
  <si>
    <t>Groceries</t>
  </si>
  <si>
    <t>Wireless Mouse</t>
  </si>
  <si>
    <t>Electronics</t>
  </si>
  <si>
    <t>Cotton T-Shirt (M)</t>
  </si>
  <si>
    <t>Apparel</t>
  </si>
  <si>
    <t>Ceramic Coffee Mug</t>
  </si>
  <si>
    <t>Home &amp; Kitchen</t>
  </si>
  <si>
    <t>AA Batteries (8pk)</t>
  </si>
  <si>
    <t>Whole Milk (1L)</t>
  </si>
  <si>
    <t>Yoga Mat</t>
  </si>
  <si>
    <t>Sports</t>
  </si>
  <si>
    <t>LED Desk Lamp</t>
  </si>
  <si>
    <t>Sourdough Bread</t>
  </si>
  <si>
    <t>Bluetooth Headphones</t>
  </si>
  <si>
    <t>Olive Oil (500ml)</t>
  </si>
  <si>
    <t>Kitchen Spatula</t>
  </si>
  <si>
    <t>Running Shoes</t>
  </si>
  <si>
    <t>Notebook (A5)</t>
  </si>
  <si>
    <t>Stationery</t>
  </si>
  <si>
    <t>Ballpoint Pen (Blue)</t>
  </si>
  <si>
    <t>Laptop Stand</t>
  </si>
  <si>
    <t>Greek Yogurt</t>
  </si>
  <si>
    <t>Denim Jeans</t>
  </si>
  <si>
    <t>Cast Iron Skillet</t>
  </si>
  <si>
    <t>Dumbbell (5kg)</t>
  </si>
  <si>
    <t>HDMI Cable (2m)</t>
  </si>
  <si>
    <t>Avocado (Single)</t>
  </si>
  <si>
    <t>Winter Jacket</t>
  </si>
  <si>
    <t>Cutting Board</t>
  </si>
  <si>
    <t>Fountain Pen</t>
  </si>
  <si>
    <t>USB-C Hub</t>
  </si>
  <si>
    <t>Protein Powder (1kg)</t>
  </si>
  <si>
    <t>White Rice (1kg)</t>
  </si>
  <si>
    <t>Bed Sheets (Queen)</t>
  </si>
  <si>
    <t>Stapler</t>
  </si>
  <si>
    <t>Smartphone Case</t>
  </si>
  <si>
    <t>Cheddar Cheese</t>
  </si>
  <si>
    <t>Hoodie (Gray)</t>
  </si>
  <si>
    <t>Non-Stick Frying Pan</t>
  </si>
  <si>
    <t>Tennis Racket</t>
  </si>
  <si>
    <t>Paper Clips (100pk)</t>
  </si>
  <si>
    <t>External Hard Drive (1TB)</t>
  </si>
  <si>
    <t>Frozen Pizza</t>
  </si>
  <si>
    <t>Canvas Backpack</t>
  </si>
  <si>
    <t>Electric Kettle</t>
  </si>
  <si>
    <t>Water Bottle (Insulated)</t>
  </si>
  <si>
    <t>Sticky Notes</t>
  </si>
  <si>
    <t>Webcam (1080p)</t>
  </si>
  <si>
    <t>Ground Coffee (250g)</t>
  </si>
  <si>
    <t>Bath Towel</t>
  </si>
  <si>
    <t>Resistance Bands</t>
  </si>
  <si>
    <t>Mechanical Pencil</t>
  </si>
  <si>
    <t>Power Bank (10000mAh)</t>
  </si>
  <si>
    <t>Almond Milk</t>
  </si>
  <si>
    <t>Kitchen Scissors</t>
  </si>
  <si>
    <t>Baseball Cap</t>
  </si>
  <si>
    <t>Smart Bulb</t>
  </si>
  <si>
    <t>Pasta (500g)</t>
  </si>
  <si>
    <t>Bath Mat</t>
  </si>
  <si>
    <t>Jump Rope</t>
  </si>
  <si>
    <t>Highlighter (4pk)</t>
  </si>
  <si>
    <t>Ethernet Cable (5m)</t>
  </si>
  <si>
    <t>Peanut Butter</t>
  </si>
  <si>
    <t>Wall Clock</t>
  </si>
  <si>
    <t>Soccer Ball</t>
  </si>
  <si>
    <t>Whiteboard Markers</t>
  </si>
  <si>
    <t>SD Card (64GB)</t>
  </si>
  <si>
    <t>Honey (500g)</t>
  </si>
  <si>
    <t>Measuring Cups</t>
  </si>
  <si>
    <t>Leather Belt</t>
  </si>
  <si>
    <t>Laptop Backpack</t>
  </si>
  <si>
    <t>Kettlebell (10kg)</t>
  </si>
  <si>
    <t>Desktop Calculator</t>
  </si>
  <si>
    <t>Microphone (USB)</t>
  </si>
  <si>
    <t>Chicken Breast (1kg)</t>
  </si>
  <si>
    <t>Oven Mitts</t>
  </si>
  <si>
    <t>Swimming Goggles</t>
  </si>
  <si>
    <t>Desk Organizer</t>
  </si>
  <si>
    <t>Wireless Earbuds</t>
  </si>
  <si>
    <t>Black Tea (50 bags)</t>
  </si>
  <si>
    <t>Mixing Bowls (Set)</t>
  </si>
  <si>
    <t>Rain Umbrella</t>
  </si>
  <si>
    <t>Yoga Block</t>
  </si>
  <si>
    <t>Legal Pad</t>
  </si>
  <si>
    <t>Tablet Stand</t>
  </si>
  <si>
    <t>Apples (1kg)</t>
  </si>
  <si>
    <t>Toaster</t>
  </si>
  <si>
    <t>Running Shorts</t>
  </si>
  <si>
    <t>Bike Helmet</t>
  </si>
  <si>
    <t>Eraser (3pk)</t>
  </si>
  <si>
    <t>VGA Adapter</t>
  </si>
  <si>
    <t>Salmon Fillet</t>
  </si>
  <si>
    <t>Wine Glasses (4pk)</t>
  </si>
  <si>
    <t>Socks (3pk)</t>
  </si>
  <si>
    <t>Punching Bag</t>
  </si>
  <si>
    <t>Ring Light</t>
  </si>
  <si>
    <t>Basmati Rice</t>
  </si>
  <si>
    <t>Storage Bins</t>
  </si>
  <si>
    <t>Clipboard</t>
  </si>
  <si>
    <t>Gaming Mouse Pad</t>
  </si>
  <si>
    <t>Tomato Sauce</t>
  </si>
  <si>
    <t>Shower Curtain</t>
  </si>
  <si>
    <t>Tracksuit Bottoms</t>
  </si>
  <si>
    <t>Camping Tent (2-person)</t>
  </si>
  <si>
    <t>Filing Cabinet</t>
  </si>
  <si>
    <t>Monitor (24 inch)</t>
  </si>
  <si>
    <t>Eggs (12pk)</t>
  </si>
  <si>
    <t>Broom and Dustpan</t>
  </si>
  <si>
    <t>Cargo Pants</t>
  </si>
  <si>
    <t>Sleeping Bag</t>
  </si>
  <si>
    <t>Hole Punch</t>
  </si>
  <si>
    <t>Keychron Keyboard</t>
  </si>
  <si>
    <t>Strawberry Jam</t>
  </si>
  <si>
    <t>Dish Rack</t>
  </si>
  <si>
    <t>Fleece Blanket</t>
  </si>
  <si>
    <t>Basketball</t>
  </si>
  <si>
    <t>Correction Tape</t>
  </si>
  <si>
    <t>Monitor Arm</t>
  </si>
  <si>
    <t>Quinoa (500g)</t>
  </si>
  <si>
    <t>Velvet Hangers (20pk)</t>
  </si>
  <si>
    <t>Wool Sweater</t>
  </si>
  <si>
    <t>Bicycle Pump</t>
  </si>
  <si>
    <t>Pencil Sharpener</t>
  </si>
  <si>
    <t>Smart Plug</t>
  </si>
  <si>
    <t>Potato Chips</t>
  </si>
  <si>
    <t>Hand Soap</t>
  </si>
  <si>
    <t>Knit Hat</t>
  </si>
  <si>
    <t>Flashlight</t>
  </si>
  <si>
    <t>Compass</t>
  </si>
  <si>
    <t>Graphics Tablet</t>
  </si>
  <si>
    <t>Canned Tuna</t>
  </si>
  <si>
    <t>Trash Can</t>
  </si>
  <si>
    <t>Leather Gloves</t>
  </si>
  <si>
    <t>Fishing Rod</t>
  </si>
  <si>
    <t>Wall Calendar</t>
  </si>
  <si>
    <t>Wi-Fi Router</t>
  </si>
  <si>
    <t>Orange Juice</t>
  </si>
  <si>
    <t>Picture Frame</t>
  </si>
  <si>
    <t>Pajama Set</t>
  </si>
  <si>
    <t>Skateboard</t>
  </si>
  <si>
    <t>Protractor</t>
  </si>
  <si>
    <t>Laptop Sleeve</t>
  </si>
  <si>
    <t>Dark Chocolate</t>
  </si>
  <si>
    <t>Candle Holder</t>
  </si>
  <si>
    <t>Formal Shirt</t>
  </si>
  <si>
    <t>Weight Bench</t>
  </si>
  <si>
    <t>Push Pins (50pk)</t>
  </si>
  <si>
    <t>USB Flash Drive (32GB)</t>
  </si>
  <si>
    <t>Baking Soda</t>
  </si>
  <si>
    <t>Silverware Set</t>
  </si>
  <si>
    <t>Swimsuit</t>
  </si>
  <si>
    <t>Badminton Shuttles (6pk)</t>
  </si>
  <si>
    <t>Scissors</t>
  </si>
  <si>
    <t>Paper Shredder</t>
  </si>
  <si>
    <t>Maple Syrup</t>
  </si>
  <si>
    <t>Floor Lamp</t>
  </si>
  <si>
    <t>Duffel Bag</t>
  </si>
  <si>
    <t>Stopwatch</t>
  </si>
  <si>
    <t>Sketchbook</t>
  </si>
  <si>
    <t>Bluetooth Speaker</t>
  </si>
  <si>
    <t>Granola Bars</t>
  </si>
  <si>
    <t>Air Fryer</t>
  </si>
  <si>
    <t>Sunglasses</t>
  </si>
  <si>
    <t>Ping Pong Paddles</t>
  </si>
  <si>
    <t>Envelopes (50pk)</t>
  </si>
  <si>
    <t>CPU Fan</t>
  </si>
  <si>
    <t>Sea Salt</t>
  </si>
  <si>
    <t>Coffee Grinder</t>
  </si>
  <si>
    <t>Silk Scarf</t>
  </si>
  <si>
    <t>Hiking Boots</t>
  </si>
  <si>
    <t>Magnifying Glass</t>
  </si>
  <si>
    <t>External DVD Drive</t>
  </si>
  <si>
    <t>Walnuts (200g)</t>
  </si>
  <si>
    <t>Storage Rack</t>
  </si>
  <si>
    <t>Polo Shirt</t>
  </si>
  <si>
    <t>Ski Goggles</t>
  </si>
  <si>
    <t>Index Cards</t>
  </si>
  <si>
    <t>Uninterruptible Power Supply</t>
  </si>
  <si>
    <t>Mustard</t>
  </si>
  <si>
    <t>Ice Cube Tray</t>
  </si>
  <si>
    <t>Windbreaker</t>
  </si>
  <si>
    <t>Agility Ladder</t>
  </si>
  <si>
    <t>Calculator Battery</t>
  </si>
  <si>
    <t>Wireless Doorbell</t>
  </si>
  <si>
    <t>Coconut Water</t>
  </si>
  <si>
    <t>Mop and Bucket</t>
  </si>
  <si>
    <t>Cardigan</t>
  </si>
  <si>
    <t>Snorkel Mask</t>
  </si>
  <si>
    <t>Art Markers (12pk)</t>
  </si>
  <si>
    <t>Soldering Iron</t>
  </si>
  <si>
    <t>Mayonnaise</t>
  </si>
  <si>
    <t>Wall Mirror</t>
  </si>
  <si>
    <t>Belt Bag</t>
  </si>
  <si>
    <t>Hand Grip Strengthener</t>
  </si>
  <si>
    <t>Glue Stick (3pk)</t>
  </si>
  <si>
    <t>Laptop Cooling Pad</t>
  </si>
  <si>
    <t>Soy Sauce</t>
  </si>
  <si>
    <t>Plant Pot</t>
  </si>
  <si>
    <t>Beanie</t>
  </si>
  <si>
    <t>Foam Roller</t>
  </si>
  <si>
    <t>Label Maker</t>
  </si>
  <si>
    <t>Desktop Fan (USB)</t>
  </si>
  <si>
    <t>Popcorn Kernels</t>
  </si>
  <si>
    <t>Curtain Rod</t>
  </si>
  <si>
    <t>Work Boots</t>
  </si>
  <si>
    <t>Product_Id</t>
  </si>
  <si>
    <t>Name</t>
  </si>
  <si>
    <t>Category</t>
  </si>
  <si>
    <t>Price</t>
  </si>
  <si>
    <t>Stock_Quantity</t>
  </si>
  <si>
    <t>Stock Value</t>
  </si>
  <si>
    <t>Stock Level</t>
  </si>
  <si>
    <t>Sum of Stock_Quantity</t>
  </si>
  <si>
    <t>Sum of Stock Value</t>
  </si>
  <si>
    <t>Count of Product_Id</t>
  </si>
  <si>
    <t>Row Labels</t>
  </si>
  <si>
    <t xml:space="preserve"> Stock_Quantity</t>
  </si>
  <si>
    <t>Low</t>
  </si>
  <si>
    <t>Inventory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</si>
</sst>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5" tint="-0.49998474074526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theme="0" tint="-0.24997711111789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0" fontId="0" fillId="0" borderId="0" xfId="0" applyAlignment="1">
      <alignment horizontal="left"/>
    </xf>
    <xf numFmtId="0" fontId="0" fillId="0" borderId="0" xfId="0" applyAlignment="1">
      <alignment horizontal="right"/>
    </xf>
    <xf numFmtId="0" fontId="16" fillId="0" borderId="0" xfId="0" applyFont="1" applyBorder="1" applyAlignment="1">
      <alignment horizontal="left"/>
    </xf>
    <xf numFmtId="0" fontId="0" fillId="0" borderId="0" xfId="0" applyBorder="1" applyAlignment="1">
      <alignment horizontal="right"/>
    </xf>
    <xf numFmtId="0" fontId="0" fillId="0" borderId="0" xfId="0" applyBorder="1" applyAlignment="1">
      <alignment horizontal="left"/>
    </xf>
    <xf numFmtId="0" fontId="16" fillId="0" borderId="0" xfId="0" applyFont="1" applyAlignment="1">
      <alignment horizontal="left"/>
    </xf>
    <xf numFmtId="0" fontId="0" fillId="0" borderId="0" xfId="0" applyNumberFormat="1"/>
    <xf numFmtId="0" fontId="0" fillId="0" borderId="0" xfId="0" pivotButton="1"/>
    <xf numFmtId="0" fontId="17" fillId="0" borderId="0" xfId="0" applyFont="1"/>
    <xf numFmtId="0" fontId="0" fillId="0" borderId="0" xfId="0"/>
    <xf numFmtId="0" fontId="18" fillId="33" borderId="10" xfId="0" applyFont="1" applyFill="1" applyBorder="1" applyAlignment="1">
      <alignment horizontal="center" vertical="center"/>
    </xf>
    <xf numFmtId="0" fontId="18" fillId="33" borderId="11" xfId="0" applyFont="1" applyFill="1" applyBorder="1" applyAlignment="1">
      <alignment horizontal="center" vertical="center"/>
    </xf>
    <xf numFmtId="0" fontId="18" fillId="33" borderId="12" xfId="0" applyFont="1" applyFill="1" applyBorder="1" applyAlignment="1">
      <alignment horizontal="center" vertical="center"/>
    </xf>
    <xf numFmtId="0" fontId="18" fillId="33" borderId="13" xfId="0" applyFont="1" applyFill="1" applyBorder="1" applyAlignment="1">
      <alignment horizontal="center" vertical="center"/>
    </xf>
    <xf numFmtId="0" fontId="18" fillId="33" borderId="14" xfId="0" applyFont="1" applyFill="1" applyBorder="1" applyAlignment="1">
      <alignment horizontal="center" vertical="center"/>
    </xf>
    <xf numFmtId="0" fontId="18" fillId="33" borderId="15" xfId="0" applyFont="1" applyFill="1" applyBorder="1" applyAlignment="1">
      <alignment horizontal="center" vertical="center"/>
    </xf>
    <xf numFmtId="0" fontId="0" fillId="34" borderId="11" xfId="0" applyFill="1" applyBorder="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alignment horizontal="right" vertical="bottom" textRotation="0" wrapText="0" indent="0" justifyLastLine="0" shrinkToFit="0" readingOrder="0"/>
    </dxf>
    <dxf>
      <numFmt numFmtId="0" formatCode="General"/>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left" vertical="bottom" textRotation="0" wrapText="0" indent="0" justifyLastLine="0" shrinkToFit="0" readingOrder="0"/>
    </dxf>
  </dxfs>
  <tableStyles count="1" defaultTableStyle="TableStyleMedium2" defaultPivotStyle="PivotStyleLight16">
    <tableStyle name="Slicer Style 1" pivot="0" table="0" count="0" xr9:uid="{A973649A-CE6C-43D0-8D61-B979024EDD96}"/>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.xlsx]KPIs!PivotTable1</c:name>
    <c:fmtId val="10"/>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IN" sz="1600"/>
              <a:t>Total Stock</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7380393072626"/>
          <c:y val="0.10018153979288477"/>
          <c:w val="0.88559751853082314"/>
          <c:h val="0.87037444679356835"/>
        </c:manualLayout>
      </c:layout>
      <c:barChart>
        <c:barDir val="col"/>
        <c:grouping val="clustered"/>
        <c:varyColors val="0"/>
        <c:ser>
          <c:idx val="0"/>
          <c:order val="0"/>
          <c:tx>
            <c:strRef>
              <c:f>KPIs!$A$3</c:f>
              <c:strCache>
                <c:ptCount val="1"/>
                <c:pt idx="0">
                  <c:v>Count of Product_Id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c:f>
              <c:strCache>
                <c:ptCount val="1"/>
                <c:pt idx="0">
                  <c:v>Total</c:v>
                </c:pt>
              </c:strCache>
            </c:strRef>
          </c:cat>
          <c:val>
            <c:numRef>
              <c:f>KPIs!$A$4</c:f>
              <c:numCache>
                <c:formatCode>General</c:formatCode>
                <c:ptCount val="1"/>
                <c:pt idx="0">
                  <c:v>200</c:v>
                </c:pt>
              </c:numCache>
            </c:numRef>
          </c:val>
          <c:extLst>
            <c:ext xmlns:c16="http://schemas.microsoft.com/office/drawing/2014/chart" uri="{C3380CC4-5D6E-409C-BE32-E72D297353CC}">
              <c16:uniqueId val="{00000000-1A76-466A-8173-443C7618B827}"/>
            </c:ext>
          </c:extLst>
        </c:ser>
        <c:ser>
          <c:idx val="1"/>
          <c:order val="1"/>
          <c:tx>
            <c:strRef>
              <c:f>KPIs!$B$3</c:f>
              <c:strCache>
                <c:ptCount val="1"/>
                <c:pt idx="0">
                  <c:v>Sum of Stock_Quantity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c:f>
              <c:strCache>
                <c:ptCount val="1"/>
                <c:pt idx="0">
                  <c:v>Total</c:v>
                </c:pt>
              </c:strCache>
            </c:strRef>
          </c:cat>
          <c:val>
            <c:numRef>
              <c:f>KPIs!$B$4</c:f>
              <c:numCache>
                <c:formatCode>General</c:formatCode>
                <c:ptCount val="1"/>
                <c:pt idx="0">
                  <c:v>21416</c:v>
                </c:pt>
              </c:numCache>
            </c:numRef>
          </c:val>
          <c:extLst>
            <c:ext xmlns:c16="http://schemas.microsoft.com/office/drawing/2014/chart" uri="{C3380CC4-5D6E-409C-BE32-E72D297353CC}">
              <c16:uniqueId val="{00000001-1A76-466A-8173-443C7618B827}"/>
            </c:ext>
          </c:extLst>
        </c:ser>
        <c:ser>
          <c:idx val="2"/>
          <c:order val="2"/>
          <c:tx>
            <c:strRef>
              <c:f>KPIs!$C$3</c:f>
              <c:strCache>
                <c:ptCount val="1"/>
                <c:pt idx="0">
                  <c:v>Sum of Stock Value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KPIs!$A$4</c:f>
              <c:strCache>
                <c:ptCount val="1"/>
                <c:pt idx="0">
                  <c:v>Total</c:v>
                </c:pt>
              </c:strCache>
            </c:strRef>
          </c:cat>
          <c:val>
            <c:numRef>
              <c:f>KPIs!$C$4</c:f>
              <c:numCache>
                <c:formatCode>General</c:formatCode>
                <c:ptCount val="1"/>
                <c:pt idx="0">
                  <c:v>248535</c:v>
                </c:pt>
              </c:numCache>
            </c:numRef>
          </c:val>
          <c:extLst>
            <c:ext xmlns:c16="http://schemas.microsoft.com/office/drawing/2014/chart" uri="{C3380CC4-5D6E-409C-BE32-E72D297353CC}">
              <c16:uniqueId val="{00000002-1A76-466A-8173-443C7618B827}"/>
            </c:ext>
          </c:extLst>
        </c:ser>
        <c:dLbls>
          <c:dLblPos val="outEnd"/>
          <c:showLegendKey val="0"/>
          <c:showVal val="1"/>
          <c:showCatName val="0"/>
          <c:showSerName val="0"/>
          <c:showPercent val="0"/>
          <c:showBubbleSize val="0"/>
        </c:dLbls>
        <c:gapWidth val="219"/>
        <c:overlap val="-27"/>
        <c:axId val="1148422223"/>
        <c:axId val="1148427503"/>
      </c:barChart>
      <c:catAx>
        <c:axId val="1148422223"/>
        <c:scaling>
          <c:orientation val="minMax"/>
        </c:scaling>
        <c:delete val="1"/>
        <c:axPos val="b"/>
        <c:numFmt formatCode="General" sourceLinked="1"/>
        <c:majorTickMark val="none"/>
        <c:minorTickMark val="none"/>
        <c:tickLblPos val="nextTo"/>
        <c:crossAx val="1148427503"/>
        <c:crosses val="autoZero"/>
        <c:auto val="1"/>
        <c:lblAlgn val="ctr"/>
        <c:lblOffset val="100"/>
        <c:noMultiLvlLbl val="0"/>
      </c:catAx>
      <c:valAx>
        <c:axId val="1148427503"/>
        <c:scaling>
          <c:logBase val="10"/>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42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.xlsx]Stock By Category!PivotTable2</c:name>
    <c:fmtId val="14"/>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Total Stock</a:t>
            </a: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'Stock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By Category'!$A$4:$A$9</c:f>
              <c:strCache>
                <c:ptCount val="6"/>
                <c:pt idx="0">
                  <c:v>Stationery</c:v>
                </c:pt>
                <c:pt idx="1">
                  <c:v>Sports</c:v>
                </c:pt>
                <c:pt idx="2">
                  <c:v>Home &amp; Kitchen</c:v>
                </c:pt>
                <c:pt idx="3">
                  <c:v>Groceries</c:v>
                </c:pt>
                <c:pt idx="4">
                  <c:v>Electronics</c:v>
                </c:pt>
                <c:pt idx="5">
                  <c:v>Apparel</c:v>
                </c:pt>
              </c:strCache>
            </c:strRef>
          </c:cat>
          <c:val>
            <c:numRef>
              <c:f>'Stock By Category'!$B$4:$B$9</c:f>
              <c:numCache>
                <c:formatCode>General</c:formatCode>
                <c:ptCount val="6"/>
                <c:pt idx="0">
                  <c:v>6443</c:v>
                </c:pt>
                <c:pt idx="1">
                  <c:v>1568</c:v>
                </c:pt>
                <c:pt idx="2">
                  <c:v>2320</c:v>
                </c:pt>
                <c:pt idx="3">
                  <c:v>6085</c:v>
                </c:pt>
                <c:pt idx="4">
                  <c:v>2675</c:v>
                </c:pt>
                <c:pt idx="5">
                  <c:v>2325</c:v>
                </c:pt>
              </c:numCache>
            </c:numRef>
          </c:val>
          <c:extLst>
            <c:ext xmlns:c16="http://schemas.microsoft.com/office/drawing/2014/chart" uri="{C3380CC4-5D6E-409C-BE32-E72D297353CC}">
              <c16:uniqueId val="{00000000-0736-401F-84C7-B0BF3523FD47}"/>
            </c:ext>
          </c:extLst>
        </c:ser>
        <c:dLbls>
          <c:dLblPos val="outEnd"/>
          <c:showLegendKey val="0"/>
          <c:showVal val="1"/>
          <c:showCatName val="0"/>
          <c:showSerName val="0"/>
          <c:showPercent val="0"/>
          <c:showBubbleSize val="0"/>
        </c:dLbls>
        <c:gapWidth val="182"/>
        <c:axId val="1150231855"/>
        <c:axId val="1150230415"/>
      </c:barChart>
      <c:catAx>
        <c:axId val="115023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0230415"/>
        <c:crosses val="autoZero"/>
        <c:auto val="1"/>
        <c:lblAlgn val="ctr"/>
        <c:lblOffset val="100"/>
        <c:noMultiLvlLbl val="0"/>
      </c:catAx>
      <c:valAx>
        <c:axId val="115023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31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.xlsx]Stock Value By Category!PivotTable3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Value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Value By Category'!$A$4:$A$9</c:f>
              <c:strCache>
                <c:ptCount val="6"/>
                <c:pt idx="0">
                  <c:v>Apparel</c:v>
                </c:pt>
                <c:pt idx="1">
                  <c:v>Electronics</c:v>
                </c:pt>
                <c:pt idx="2">
                  <c:v>Groceries</c:v>
                </c:pt>
                <c:pt idx="3">
                  <c:v>Home &amp; Kitchen</c:v>
                </c:pt>
                <c:pt idx="4">
                  <c:v>Sports</c:v>
                </c:pt>
                <c:pt idx="5">
                  <c:v>Stationery</c:v>
                </c:pt>
              </c:strCache>
            </c:strRef>
          </c:cat>
          <c:val>
            <c:numRef>
              <c:f>'Stock Value By Category'!$B$4:$B$9</c:f>
              <c:numCache>
                <c:formatCode>General</c:formatCode>
                <c:ptCount val="6"/>
                <c:pt idx="0">
                  <c:v>63729.35</c:v>
                </c:pt>
                <c:pt idx="1">
                  <c:v>67835.350000000006</c:v>
                </c:pt>
                <c:pt idx="2">
                  <c:v>18722.100000000002</c:v>
                </c:pt>
                <c:pt idx="3">
                  <c:v>36800.100000000006</c:v>
                </c:pt>
                <c:pt idx="4">
                  <c:v>39994.6</c:v>
                </c:pt>
                <c:pt idx="5">
                  <c:v>21453.5</c:v>
                </c:pt>
              </c:numCache>
            </c:numRef>
          </c:val>
          <c:extLst>
            <c:ext xmlns:c16="http://schemas.microsoft.com/office/drawing/2014/chart" uri="{C3380CC4-5D6E-409C-BE32-E72D297353CC}">
              <c16:uniqueId val="{00000000-F0C7-4501-90D1-56A8105FCA18}"/>
            </c:ext>
          </c:extLst>
        </c:ser>
        <c:dLbls>
          <c:dLblPos val="outEnd"/>
          <c:showLegendKey val="0"/>
          <c:showVal val="1"/>
          <c:showCatName val="0"/>
          <c:showSerName val="0"/>
          <c:showPercent val="0"/>
          <c:showBubbleSize val="0"/>
        </c:dLbls>
        <c:gapWidth val="219"/>
        <c:overlap val="-27"/>
        <c:axId val="1082602927"/>
        <c:axId val="1330012511"/>
      </c:barChart>
      <c:catAx>
        <c:axId val="108260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12511"/>
        <c:crosses val="autoZero"/>
        <c:auto val="1"/>
        <c:lblAlgn val="ctr"/>
        <c:lblOffset val="100"/>
        <c:noMultiLvlLbl val="0"/>
      </c:catAx>
      <c:valAx>
        <c:axId val="133001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0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.xlsx]Top 10 Products By Stock Value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Stock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Stock Value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Stock Value '!$A$4:$A$13</c:f>
              <c:strCache>
                <c:ptCount val="10"/>
                <c:pt idx="0">
                  <c:v>AA Batteries (8pk)</c:v>
                </c:pt>
                <c:pt idx="1">
                  <c:v>Bluetooth Headphones</c:v>
                </c:pt>
                <c:pt idx="2">
                  <c:v>Cotton T-Shirt (M)</c:v>
                </c:pt>
                <c:pt idx="3">
                  <c:v>Formal Shirt</c:v>
                </c:pt>
                <c:pt idx="4">
                  <c:v>Hoodie (Gray)</c:v>
                </c:pt>
                <c:pt idx="5">
                  <c:v>Monitor (24 inch)</c:v>
                </c:pt>
                <c:pt idx="6">
                  <c:v>Smartphone Case</c:v>
                </c:pt>
                <c:pt idx="7">
                  <c:v>Socks (3pk)</c:v>
                </c:pt>
                <c:pt idx="8">
                  <c:v>Wireless Earbuds</c:v>
                </c:pt>
                <c:pt idx="9">
                  <c:v>Wireless Mouse</c:v>
                </c:pt>
              </c:strCache>
            </c:strRef>
          </c:cat>
          <c:val>
            <c:numRef>
              <c:f>'Top 10 Products By Stock Value '!$B$4:$B$13</c:f>
              <c:numCache>
                <c:formatCode>General</c:formatCode>
                <c:ptCount val="10"/>
                <c:pt idx="0">
                  <c:v>3747</c:v>
                </c:pt>
                <c:pt idx="1">
                  <c:v>4895</c:v>
                </c:pt>
                <c:pt idx="2">
                  <c:v>3000</c:v>
                </c:pt>
                <c:pt idx="3">
                  <c:v>3150</c:v>
                </c:pt>
                <c:pt idx="4">
                  <c:v>3850</c:v>
                </c:pt>
                <c:pt idx="5">
                  <c:v>4470</c:v>
                </c:pt>
                <c:pt idx="6">
                  <c:v>2998</c:v>
                </c:pt>
                <c:pt idx="7">
                  <c:v>3600</c:v>
                </c:pt>
                <c:pt idx="8">
                  <c:v>5400</c:v>
                </c:pt>
                <c:pt idx="9">
                  <c:v>3060</c:v>
                </c:pt>
              </c:numCache>
            </c:numRef>
          </c:val>
          <c:extLst>
            <c:ext xmlns:c16="http://schemas.microsoft.com/office/drawing/2014/chart" uri="{C3380CC4-5D6E-409C-BE32-E72D297353CC}">
              <c16:uniqueId val="{00000000-EDDB-49F3-B8A1-543F1E08107D}"/>
            </c:ext>
          </c:extLst>
        </c:ser>
        <c:dLbls>
          <c:dLblPos val="outEnd"/>
          <c:showLegendKey val="0"/>
          <c:showVal val="1"/>
          <c:showCatName val="0"/>
          <c:showSerName val="0"/>
          <c:showPercent val="0"/>
          <c:showBubbleSize val="0"/>
        </c:dLbls>
        <c:gapWidth val="182"/>
        <c:axId val="1430303727"/>
        <c:axId val="1430303247"/>
      </c:barChart>
      <c:catAx>
        <c:axId val="143030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303247"/>
        <c:crosses val="autoZero"/>
        <c:auto val="1"/>
        <c:lblAlgn val="ctr"/>
        <c:lblOffset val="100"/>
        <c:noMultiLvlLbl val="0"/>
      </c:catAx>
      <c:valAx>
        <c:axId val="143030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30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.xlsx]Stock By Category!PivotTable2</c:name>
    <c:fmtId val="17"/>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a:t>Stock</a:t>
            </a:r>
            <a:r>
              <a:rPr lang="en-US" sz="1600" baseline="0"/>
              <a:t> By Category</a:t>
            </a:r>
            <a:endParaRPr lang="en-US" sz="1600"/>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'Stock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By Category'!$A$4:$A$9</c:f>
              <c:strCache>
                <c:ptCount val="6"/>
                <c:pt idx="0">
                  <c:v>Stationery</c:v>
                </c:pt>
                <c:pt idx="1">
                  <c:v>Sports</c:v>
                </c:pt>
                <c:pt idx="2">
                  <c:v>Home &amp; Kitchen</c:v>
                </c:pt>
                <c:pt idx="3">
                  <c:v>Groceries</c:v>
                </c:pt>
                <c:pt idx="4">
                  <c:v>Electronics</c:v>
                </c:pt>
                <c:pt idx="5">
                  <c:v>Apparel</c:v>
                </c:pt>
              </c:strCache>
            </c:strRef>
          </c:cat>
          <c:val>
            <c:numRef>
              <c:f>'Stock By Category'!$B$4:$B$9</c:f>
              <c:numCache>
                <c:formatCode>General</c:formatCode>
                <c:ptCount val="6"/>
                <c:pt idx="0">
                  <c:v>6443</c:v>
                </c:pt>
                <c:pt idx="1">
                  <c:v>1568</c:v>
                </c:pt>
                <c:pt idx="2">
                  <c:v>2320</c:v>
                </c:pt>
                <c:pt idx="3">
                  <c:v>6085</c:v>
                </c:pt>
                <c:pt idx="4">
                  <c:v>2675</c:v>
                </c:pt>
                <c:pt idx="5">
                  <c:v>2325</c:v>
                </c:pt>
              </c:numCache>
            </c:numRef>
          </c:val>
          <c:extLst>
            <c:ext xmlns:c16="http://schemas.microsoft.com/office/drawing/2014/chart" uri="{C3380CC4-5D6E-409C-BE32-E72D297353CC}">
              <c16:uniqueId val="{00000000-014E-46EC-88EF-EF7324FECF52}"/>
            </c:ext>
          </c:extLst>
        </c:ser>
        <c:dLbls>
          <c:dLblPos val="outEnd"/>
          <c:showLegendKey val="0"/>
          <c:showVal val="1"/>
          <c:showCatName val="0"/>
          <c:showSerName val="0"/>
          <c:showPercent val="0"/>
          <c:showBubbleSize val="0"/>
        </c:dLbls>
        <c:gapWidth val="182"/>
        <c:axId val="1150231855"/>
        <c:axId val="1150230415"/>
      </c:barChart>
      <c:catAx>
        <c:axId val="1150231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150230415"/>
        <c:crosses val="autoZero"/>
        <c:auto val="1"/>
        <c:lblAlgn val="ctr"/>
        <c:lblOffset val="100"/>
        <c:noMultiLvlLbl val="0"/>
      </c:catAx>
      <c:valAx>
        <c:axId val="11502304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231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.xlsx]Stock Value By Category!PivotTable3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Stock Value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'Stock Value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'Stock Value By Category'!$A$4:$A$9</c:f>
              <c:strCache>
                <c:ptCount val="6"/>
                <c:pt idx="0">
                  <c:v>Apparel</c:v>
                </c:pt>
                <c:pt idx="1">
                  <c:v>Electronics</c:v>
                </c:pt>
                <c:pt idx="2">
                  <c:v>Groceries</c:v>
                </c:pt>
                <c:pt idx="3">
                  <c:v>Home &amp; Kitchen</c:v>
                </c:pt>
                <c:pt idx="4">
                  <c:v>Sports</c:v>
                </c:pt>
                <c:pt idx="5">
                  <c:v>Stationery</c:v>
                </c:pt>
              </c:strCache>
            </c:strRef>
          </c:cat>
          <c:val>
            <c:numRef>
              <c:f>'Stock Value By Category'!$B$4:$B$9</c:f>
              <c:numCache>
                <c:formatCode>General</c:formatCode>
                <c:ptCount val="6"/>
                <c:pt idx="0">
                  <c:v>63729.35</c:v>
                </c:pt>
                <c:pt idx="1">
                  <c:v>67835.350000000006</c:v>
                </c:pt>
                <c:pt idx="2">
                  <c:v>18722.100000000002</c:v>
                </c:pt>
                <c:pt idx="3">
                  <c:v>36800.100000000006</c:v>
                </c:pt>
                <c:pt idx="4">
                  <c:v>39994.6</c:v>
                </c:pt>
                <c:pt idx="5">
                  <c:v>21453.5</c:v>
                </c:pt>
              </c:numCache>
            </c:numRef>
          </c:val>
          <c:extLst>
            <c:ext xmlns:c16="http://schemas.microsoft.com/office/drawing/2014/chart" uri="{C3380CC4-5D6E-409C-BE32-E72D297353CC}">
              <c16:uniqueId val="{00000000-E393-4221-8BCF-A05F06E82828}"/>
            </c:ext>
          </c:extLst>
        </c:ser>
        <c:dLbls>
          <c:dLblPos val="outEnd"/>
          <c:showLegendKey val="0"/>
          <c:showVal val="1"/>
          <c:showCatName val="0"/>
          <c:showSerName val="0"/>
          <c:showPercent val="0"/>
          <c:showBubbleSize val="0"/>
        </c:dLbls>
        <c:gapWidth val="219"/>
        <c:overlap val="-27"/>
        <c:axId val="1082602927"/>
        <c:axId val="1330012511"/>
      </c:barChart>
      <c:catAx>
        <c:axId val="1082602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012511"/>
        <c:crosses val="autoZero"/>
        <c:auto val="1"/>
        <c:lblAlgn val="ctr"/>
        <c:lblOffset val="100"/>
        <c:noMultiLvlLbl val="0"/>
      </c:catAx>
      <c:valAx>
        <c:axId val="13300125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6029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OPTIMIZATION PROJECT .xlsx]Top 10 Products By Stock Value !PivotTable5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Stock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 By Stock Value '!$B$3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 By Stock Value '!$A$4:$A$13</c:f>
              <c:strCache>
                <c:ptCount val="10"/>
                <c:pt idx="0">
                  <c:v>AA Batteries (8pk)</c:v>
                </c:pt>
                <c:pt idx="1">
                  <c:v>Bluetooth Headphones</c:v>
                </c:pt>
                <c:pt idx="2">
                  <c:v>Cotton T-Shirt (M)</c:v>
                </c:pt>
                <c:pt idx="3">
                  <c:v>Formal Shirt</c:v>
                </c:pt>
                <c:pt idx="4">
                  <c:v>Hoodie (Gray)</c:v>
                </c:pt>
                <c:pt idx="5">
                  <c:v>Monitor (24 inch)</c:v>
                </c:pt>
                <c:pt idx="6">
                  <c:v>Smartphone Case</c:v>
                </c:pt>
                <c:pt idx="7">
                  <c:v>Socks (3pk)</c:v>
                </c:pt>
                <c:pt idx="8">
                  <c:v>Wireless Earbuds</c:v>
                </c:pt>
                <c:pt idx="9">
                  <c:v>Wireless Mouse</c:v>
                </c:pt>
              </c:strCache>
            </c:strRef>
          </c:cat>
          <c:val>
            <c:numRef>
              <c:f>'Top 10 Products By Stock Value '!$B$4:$B$13</c:f>
              <c:numCache>
                <c:formatCode>General</c:formatCode>
                <c:ptCount val="10"/>
                <c:pt idx="0">
                  <c:v>3747</c:v>
                </c:pt>
                <c:pt idx="1">
                  <c:v>4895</c:v>
                </c:pt>
                <c:pt idx="2">
                  <c:v>3000</c:v>
                </c:pt>
                <c:pt idx="3">
                  <c:v>3150</c:v>
                </c:pt>
                <c:pt idx="4">
                  <c:v>3850</c:v>
                </c:pt>
                <c:pt idx="5">
                  <c:v>4470</c:v>
                </c:pt>
                <c:pt idx="6">
                  <c:v>2998</c:v>
                </c:pt>
                <c:pt idx="7">
                  <c:v>3600</c:v>
                </c:pt>
                <c:pt idx="8">
                  <c:v>5400</c:v>
                </c:pt>
                <c:pt idx="9">
                  <c:v>3060</c:v>
                </c:pt>
              </c:numCache>
            </c:numRef>
          </c:val>
          <c:extLst>
            <c:ext xmlns:c16="http://schemas.microsoft.com/office/drawing/2014/chart" uri="{C3380CC4-5D6E-409C-BE32-E72D297353CC}">
              <c16:uniqueId val="{00000000-0F42-44A9-9B26-CB0278076EF6}"/>
            </c:ext>
          </c:extLst>
        </c:ser>
        <c:dLbls>
          <c:dLblPos val="outEnd"/>
          <c:showLegendKey val="0"/>
          <c:showVal val="1"/>
          <c:showCatName val="0"/>
          <c:showSerName val="0"/>
          <c:showPercent val="0"/>
          <c:showBubbleSize val="0"/>
        </c:dLbls>
        <c:gapWidth val="182"/>
        <c:axId val="1430303727"/>
        <c:axId val="1430303247"/>
      </c:barChart>
      <c:catAx>
        <c:axId val="143030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303247"/>
        <c:crosses val="autoZero"/>
        <c:auto val="1"/>
        <c:lblAlgn val="ctr"/>
        <c:lblOffset val="100"/>
        <c:noMultiLvlLbl val="0"/>
      </c:catAx>
      <c:valAx>
        <c:axId val="143030324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30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1013460</xdr:colOff>
      <xdr:row>4</xdr:row>
      <xdr:rowOff>175260</xdr:rowOff>
    </xdr:from>
    <xdr:to>
      <xdr:col>5</xdr:col>
      <xdr:colOff>317715</xdr:colOff>
      <xdr:row>16</xdr:row>
      <xdr:rowOff>27466</xdr:rowOff>
    </xdr:to>
    <xdr:graphicFrame macro="">
      <xdr:nvGraphicFramePr>
        <xdr:cNvPr id="3" name="Chart 2">
          <a:extLst>
            <a:ext uri="{FF2B5EF4-FFF2-40B4-BE49-F238E27FC236}">
              <a16:creationId xmlns:a16="http://schemas.microsoft.com/office/drawing/2014/main" id="{FDAB5F72-F680-44F6-A008-D9AC9CA1FC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0</xdr:rowOff>
    </xdr:from>
    <xdr:to>
      <xdr:col>10</xdr:col>
      <xdr:colOff>12404</xdr:colOff>
      <xdr:row>18</xdr:row>
      <xdr:rowOff>31690</xdr:rowOff>
    </xdr:to>
    <xdr:graphicFrame macro="">
      <xdr:nvGraphicFramePr>
        <xdr:cNvPr id="3" name="Chart 2">
          <a:extLst>
            <a:ext uri="{FF2B5EF4-FFF2-40B4-BE49-F238E27FC236}">
              <a16:creationId xmlns:a16="http://schemas.microsoft.com/office/drawing/2014/main" id="{7D7128A2-ED15-4EB9-B16A-8CAF2D07F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927257</xdr:colOff>
      <xdr:row>10</xdr:row>
      <xdr:rowOff>53076</xdr:rowOff>
    </xdr:from>
    <xdr:to>
      <xdr:col>7</xdr:col>
      <xdr:colOff>345141</xdr:colOff>
      <xdr:row>25</xdr:row>
      <xdr:rowOff>81652</xdr:rowOff>
    </xdr:to>
    <xdr:graphicFrame macro="">
      <xdr:nvGraphicFramePr>
        <xdr:cNvPr id="2" name="Chart 1">
          <a:extLst>
            <a:ext uri="{FF2B5EF4-FFF2-40B4-BE49-F238E27FC236}">
              <a16:creationId xmlns:a16="http://schemas.microsoft.com/office/drawing/2014/main" id="{692C744C-1868-6D18-F7FB-598BB6353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201930</xdr:colOff>
      <xdr:row>5</xdr:row>
      <xdr:rowOff>53340</xdr:rowOff>
    </xdr:from>
    <xdr:to>
      <xdr:col>7</xdr:col>
      <xdr:colOff>712470</xdr:colOff>
      <xdr:row>19</xdr:row>
      <xdr:rowOff>121920</xdr:rowOff>
    </xdr:to>
    <xdr:graphicFrame macro="">
      <xdr:nvGraphicFramePr>
        <xdr:cNvPr id="2" name="Chart 1">
          <a:extLst>
            <a:ext uri="{FF2B5EF4-FFF2-40B4-BE49-F238E27FC236}">
              <a16:creationId xmlns:a16="http://schemas.microsoft.com/office/drawing/2014/main" id="{A9DB50D7-C2FC-6A7C-8FA3-19C44B343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141112</xdr:colOff>
      <xdr:row>3</xdr:row>
      <xdr:rowOff>55008</xdr:rowOff>
    </xdr:from>
    <xdr:to>
      <xdr:col>6</xdr:col>
      <xdr:colOff>197555</xdr:colOff>
      <xdr:row>8</xdr:row>
      <xdr:rowOff>131917</xdr:rowOff>
    </xdr:to>
    <xdr:grpSp>
      <xdr:nvGrpSpPr>
        <xdr:cNvPr id="6" name="Group 5">
          <a:extLst>
            <a:ext uri="{FF2B5EF4-FFF2-40B4-BE49-F238E27FC236}">
              <a16:creationId xmlns:a16="http://schemas.microsoft.com/office/drawing/2014/main" id="{B834020F-D93A-6D58-253B-412E6C668E60}"/>
            </a:ext>
          </a:extLst>
        </xdr:cNvPr>
        <xdr:cNvGrpSpPr/>
      </xdr:nvGrpSpPr>
      <xdr:grpSpPr>
        <a:xfrm>
          <a:off x="141112" y="616482"/>
          <a:ext cx="3746127" cy="1012698"/>
          <a:chOff x="94594" y="457199"/>
          <a:chExt cx="1760483" cy="993229"/>
        </a:xfrm>
        <a:solidFill>
          <a:schemeClr val="accent1"/>
        </a:solidFill>
        <a:effectLst>
          <a:outerShdw blurRad="190500" dist="50800" dir="5400000" algn="ctr" rotWithShape="0">
            <a:srgbClr val="000000">
              <a:alpha val="30000"/>
            </a:srgbClr>
          </a:outerShdw>
        </a:effectLst>
      </xdr:grpSpPr>
      <xdr:sp macro="" textlink="">
        <xdr:nvSpPr>
          <xdr:cNvPr id="2" name="Rectangle: Rounded Corners 1">
            <a:extLst>
              <a:ext uri="{FF2B5EF4-FFF2-40B4-BE49-F238E27FC236}">
                <a16:creationId xmlns:a16="http://schemas.microsoft.com/office/drawing/2014/main" id="{E04F3817-7854-9950-C864-060967884750}"/>
              </a:ext>
            </a:extLst>
          </xdr:cNvPr>
          <xdr:cNvSpPr/>
        </xdr:nvSpPr>
        <xdr:spPr>
          <a:xfrm>
            <a:off x="94594" y="457199"/>
            <a:ext cx="1760483" cy="993229"/>
          </a:xfrm>
          <a:prstGeom prst="roundRect">
            <a:avLst/>
          </a:prstGeom>
          <a:grpFill/>
          <a:ln>
            <a:no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lang="en-IN" sz="1800" b="1">
                <a:solidFill>
                  <a:schemeClr val="bg1"/>
                </a:solidFill>
              </a:rPr>
              <a:t>Total Products</a:t>
            </a:r>
            <a:r>
              <a:rPr lang="en-IN" sz="1400" b="1">
                <a:solidFill>
                  <a:schemeClr val="bg1"/>
                </a:solidFill>
              </a:rPr>
              <a:t> </a:t>
            </a:r>
          </a:p>
          <a:p>
            <a:pPr algn="ctr"/>
            <a:endParaRPr lang="en-IN" sz="3600" b="1"/>
          </a:p>
        </xdr:txBody>
      </xdr:sp>
      <xdr:sp macro="" textlink="BJ1">
        <xdr:nvSpPr>
          <xdr:cNvPr id="3" name="Rectangle: Rounded Corners 2">
            <a:extLst>
              <a:ext uri="{FF2B5EF4-FFF2-40B4-BE49-F238E27FC236}">
                <a16:creationId xmlns:a16="http://schemas.microsoft.com/office/drawing/2014/main" id="{0E15DD0D-C847-C885-815A-C7838688CD1D}"/>
              </a:ext>
            </a:extLst>
          </xdr:cNvPr>
          <xdr:cNvSpPr/>
        </xdr:nvSpPr>
        <xdr:spPr>
          <a:xfrm>
            <a:off x="162911" y="861848"/>
            <a:ext cx="1529255" cy="46245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lstStyle/>
          <a:p>
            <a:pPr algn="ctr"/>
            <a:fld id="{59F3ABA1-3AA3-4C6E-82AE-7245883A5C27}" type="TxLink">
              <a:rPr lang="en-US" sz="3600" b="1" i="0" u="none" strike="noStrike">
                <a:solidFill>
                  <a:srgbClr val="FFFFFF"/>
                </a:solidFill>
                <a:latin typeface="Aptos Narrow"/>
              </a:rPr>
              <a:pPr algn="ctr"/>
              <a:t>200</a:t>
            </a:fld>
            <a:endParaRPr lang="en-IN" sz="3600" b="1"/>
          </a:p>
        </xdr:txBody>
      </xdr:sp>
    </xdr:grpSp>
    <xdr:clientData/>
  </xdr:twoCellAnchor>
  <xdr:twoCellAnchor>
    <xdr:from>
      <xdr:col>6</xdr:col>
      <xdr:colOff>423333</xdr:colOff>
      <xdr:row>3</xdr:row>
      <xdr:rowOff>24412</xdr:rowOff>
    </xdr:from>
    <xdr:to>
      <xdr:col>13</xdr:col>
      <xdr:colOff>42332</xdr:colOff>
      <xdr:row>8</xdr:row>
      <xdr:rowOff>103731</xdr:rowOff>
    </xdr:to>
    <xdr:grpSp>
      <xdr:nvGrpSpPr>
        <xdr:cNvPr id="7" name="Group 6">
          <a:extLst>
            <a:ext uri="{FF2B5EF4-FFF2-40B4-BE49-F238E27FC236}">
              <a16:creationId xmlns:a16="http://schemas.microsoft.com/office/drawing/2014/main" id="{C27BFEBD-5126-4CD7-B340-67C6B09089CD}"/>
            </a:ext>
          </a:extLst>
        </xdr:cNvPr>
        <xdr:cNvGrpSpPr/>
      </xdr:nvGrpSpPr>
      <xdr:grpSpPr>
        <a:xfrm>
          <a:off x="4113017" y="585886"/>
          <a:ext cx="3923631" cy="1015108"/>
          <a:chOff x="94594" y="457199"/>
          <a:chExt cx="1760483" cy="993229"/>
        </a:xfrm>
        <a:solidFill>
          <a:schemeClr val="accent1"/>
        </a:solidFill>
        <a:effectLst>
          <a:outerShdw blurRad="190500" dist="50800" dir="5400000" algn="ctr" rotWithShape="0">
            <a:srgbClr val="000000">
              <a:alpha val="30000"/>
            </a:srgbClr>
          </a:outerShdw>
        </a:effectLst>
      </xdr:grpSpPr>
      <xdr:sp macro="" textlink="">
        <xdr:nvSpPr>
          <xdr:cNvPr id="8" name="Rectangle: Rounded Corners 7">
            <a:extLst>
              <a:ext uri="{FF2B5EF4-FFF2-40B4-BE49-F238E27FC236}">
                <a16:creationId xmlns:a16="http://schemas.microsoft.com/office/drawing/2014/main" id="{041A4D7E-BE62-733E-A9C1-D9DF2575399C}"/>
              </a:ext>
            </a:extLst>
          </xdr:cNvPr>
          <xdr:cNvSpPr/>
        </xdr:nvSpPr>
        <xdr:spPr>
          <a:xfrm>
            <a:off x="94594" y="457199"/>
            <a:ext cx="1760483" cy="993229"/>
          </a:xfrm>
          <a:prstGeom prst="roundRect">
            <a:avLst/>
          </a:prstGeom>
          <a:grpFill/>
          <a:ln>
            <a:no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lang="en-IN" sz="1800" b="1">
                <a:solidFill>
                  <a:schemeClr val="bg1"/>
                </a:solidFill>
              </a:rPr>
              <a:t>Total Stock</a:t>
            </a:r>
            <a:r>
              <a:rPr lang="en-IN" sz="1400" b="1">
                <a:solidFill>
                  <a:schemeClr val="bg1"/>
                </a:solidFill>
              </a:rPr>
              <a:t> </a:t>
            </a:r>
          </a:p>
          <a:p>
            <a:pPr algn="ctr"/>
            <a:endParaRPr lang="en-IN" sz="3600" b="1"/>
          </a:p>
        </xdr:txBody>
      </xdr:sp>
      <xdr:sp macro="" textlink="KPIs!B4">
        <xdr:nvSpPr>
          <xdr:cNvPr id="9" name="Rectangle: Rounded Corners 8">
            <a:extLst>
              <a:ext uri="{FF2B5EF4-FFF2-40B4-BE49-F238E27FC236}">
                <a16:creationId xmlns:a16="http://schemas.microsoft.com/office/drawing/2014/main" id="{5A546079-CBFA-7D24-D9C5-8AAE66A8BD02}"/>
              </a:ext>
            </a:extLst>
          </xdr:cNvPr>
          <xdr:cNvSpPr/>
        </xdr:nvSpPr>
        <xdr:spPr>
          <a:xfrm>
            <a:off x="162911" y="861848"/>
            <a:ext cx="1529255" cy="46245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lstStyle/>
          <a:p>
            <a:pPr algn="ctr"/>
            <a:fld id="{C1F2EE80-C1F0-4591-8E10-7FEF5D7ED613}" type="TxLink">
              <a:rPr lang="en-US" sz="3600" b="1" i="0" u="none" strike="noStrike">
                <a:solidFill>
                  <a:schemeClr val="bg1"/>
                </a:solidFill>
                <a:latin typeface="Aptos Narrow"/>
              </a:rPr>
              <a:t>21416</a:t>
            </a:fld>
            <a:endParaRPr lang="en-IN" sz="8800" b="1">
              <a:solidFill>
                <a:schemeClr val="bg1"/>
              </a:solidFill>
            </a:endParaRPr>
          </a:p>
        </xdr:txBody>
      </xdr:sp>
    </xdr:grpSp>
    <xdr:clientData/>
  </xdr:twoCellAnchor>
  <xdr:twoCellAnchor>
    <xdr:from>
      <xdr:col>13</xdr:col>
      <xdr:colOff>238402</xdr:colOff>
      <xdr:row>3</xdr:row>
      <xdr:rowOff>55311</xdr:rowOff>
    </xdr:from>
    <xdr:to>
      <xdr:col>19</xdr:col>
      <xdr:colOff>556418</xdr:colOff>
      <xdr:row>8</xdr:row>
      <xdr:rowOff>123739</xdr:rowOff>
    </xdr:to>
    <xdr:grpSp>
      <xdr:nvGrpSpPr>
        <xdr:cNvPr id="10" name="Group 9">
          <a:extLst>
            <a:ext uri="{FF2B5EF4-FFF2-40B4-BE49-F238E27FC236}">
              <a16:creationId xmlns:a16="http://schemas.microsoft.com/office/drawing/2014/main" id="{484A6CFE-4BD3-4F54-A6FF-5141D14DAFBE}"/>
            </a:ext>
          </a:extLst>
        </xdr:cNvPr>
        <xdr:cNvGrpSpPr/>
      </xdr:nvGrpSpPr>
      <xdr:grpSpPr>
        <a:xfrm>
          <a:off x="8232718" y="616785"/>
          <a:ext cx="4007700" cy="1004217"/>
          <a:chOff x="94594" y="457199"/>
          <a:chExt cx="1760483" cy="993229"/>
        </a:xfrm>
        <a:solidFill>
          <a:schemeClr val="accent1"/>
        </a:solidFill>
        <a:effectLst>
          <a:outerShdw blurRad="190500" dist="50800" dir="5400000" algn="ctr" rotWithShape="0">
            <a:srgbClr val="000000">
              <a:alpha val="30000"/>
            </a:srgbClr>
          </a:outerShdw>
        </a:effectLst>
      </xdr:grpSpPr>
      <xdr:sp macro="" textlink="">
        <xdr:nvSpPr>
          <xdr:cNvPr id="11" name="Rectangle: Rounded Corners 10">
            <a:extLst>
              <a:ext uri="{FF2B5EF4-FFF2-40B4-BE49-F238E27FC236}">
                <a16:creationId xmlns:a16="http://schemas.microsoft.com/office/drawing/2014/main" id="{972652B3-41A0-248A-AE8E-AA358ED3085A}"/>
              </a:ext>
            </a:extLst>
          </xdr:cNvPr>
          <xdr:cNvSpPr/>
        </xdr:nvSpPr>
        <xdr:spPr>
          <a:xfrm>
            <a:off x="94594" y="457199"/>
            <a:ext cx="1760483" cy="993229"/>
          </a:xfrm>
          <a:prstGeom prst="roundRect">
            <a:avLst/>
          </a:prstGeom>
          <a:grpFill/>
          <a:ln>
            <a:noFill/>
          </a:ln>
          <a:effectLst>
            <a:outerShdw blurRad="1016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nchorCtr="1"/>
          <a:lstStyle/>
          <a:p>
            <a:pPr algn="ctr"/>
            <a:r>
              <a:rPr lang="en-IN" sz="1800" b="1">
                <a:solidFill>
                  <a:schemeClr val="bg1"/>
                </a:solidFill>
              </a:rPr>
              <a:t>Total Stock Value</a:t>
            </a:r>
          </a:p>
          <a:p>
            <a:pPr algn="ctr"/>
            <a:r>
              <a:rPr lang="en-IN" sz="1400" b="1">
                <a:solidFill>
                  <a:schemeClr val="bg1"/>
                </a:solidFill>
              </a:rPr>
              <a:t> </a:t>
            </a:r>
          </a:p>
          <a:p>
            <a:pPr algn="ctr"/>
            <a:endParaRPr lang="en-IN" sz="3600" b="1"/>
          </a:p>
        </xdr:txBody>
      </xdr:sp>
      <xdr:sp macro="" textlink="KPIs!C4">
        <xdr:nvSpPr>
          <xdr:cNvPr id="12" name="Rectangle: Rounded Corners 11">
            <a:extLst>
              <a:ext uri="{FF2B5EF4-FFF2-40B4-BE49-F238E27FC236}">
                <a16:creationId xmlns:a16="http://schemas.microsoft.com/office/drawing/2014/main" id="{BA1341DA-BCC8-79EB-11E5-10C0FC40A33B}"/>
              </a:ext>
            </a:extLst>
          </xdr:cNvPr>
          <xdr:cNvSpPr/>
        </xdr:nvSpPr>
        <xdr:spPr>
          <a:xfrm>
            <a:off x="162911" y="861848"/>
            <a:ext cx="1529255" cy="46245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tIns="72000" rIns="72000" bIns="72000" rtlCol="0" anchor="ctr"/>
          <a:lstStyle/>
          <a:p>
            <a:pPr algn="ctr"/>
            <a:fld id="{ADEB5DCF-F759-4216-9C77-CCD9D1E0EAA0}" type="TxLink">
              <a:rPr lang="en-US" sz="3600" b="1" i="0" u="none" strike="noStrike">
                <a:solidFill>
                  <a:schemeClr val="bg1"/>
                </a:solidFill>
                <a:latin typeface="Aptos Narrow"/>
              </a:rPr>
              <a:t>248535</a:t>
            </a:fld>
            <a:endParaRPr lang="en-IN" sz="8800" b="1">
              <a:solidFill>
                <a:schemeClr val="bg1"/>
              </a:solidFill>
            </a:endParaRPr>
          </a:p>
        </xdr:txBody>
      </xdr:sp>
    </xdr:grpSp>
    <xdr:clientData/>
  </xdr:twoCellAnchor>
  <xdr:twoCellAnchor>
    <xdr:from>
      <xdr:col>0</xdr:col>
      <xdr:colOff>148684</xdr:colOff>
      <xdr:row>10</xdr:row>
      <xdr:rowOff>92928</xdr:rowOff>
    </xdr:from>
    <xdr:to>
      <xdr:col>6</xdr:col>
      <xdr:colOff>91179</xdr:colOff>
      <xdr:row>20</xdr:row>
      <xdr:rowOff>18584</xdr:rowOff>
    </xdr:to>
    <xdr:graphicFrame macro="">
      <xdr:nvGraphicFramePr>
        <xdr:cNvPr id="4" name="Chart 3">
          <a:extLst>
            <a:ext uri="{FF2B5EF4-FFF2-40B4-BE49-F238E27FC236}">
              <a16:creationId xmlns:a16="http://schemas.microsoft.com/office/drawing/2014/main" id="{D9522D69-B77F-4F1A-BA45-E324EE6B7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241984</xdr:colOff>
      <xdr:row>10</xdr:row>
      <xdr:rowOff>76714</xdr:rowOff>
    </xdr:from>
    <xdr:to>
      <xdr:col>13</xdr:col>
      <xdr:colOff>599179</xdr:colOff>
      <xdr:row>20</xdr:row>
      <xdr:rowOff>20958</xdr:rowOff>
    </xdr:to>
    <xdr:graphicFrame macro="">
      <xdr:nvGraphicFramePr>
        <xdr:cNvPr id="14" name="Chart 13">
          <a:extLst>
            <a:ext uri="{FF2B5EF4-FFF2-40B4-BE49-F238E27FC236}">
              <a16:creationId xmlns:a16="http://schemas.microsoft.com/office/drawing/2014/main" id="{B274ACE9-61C1-453A-B957-8910278AE8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160420</xdr:colOff>
      <xdr:row>21</xdr:row>
      <xdr:rowOff>80210</xdr:rowOff>
    </xdr:from>
    <xdr:to>
      <xdr:col>9</xdr:col>
      <xdr:colOff>350920</xdr:colOff>
      <xdr:row>34</xdr:row>
      <xdr:rowOff>10026</xdr:rowOff>
    </xdr:to>
    <xdr:graphicFrame macro="">
      <xdr:nvGraphicFramePr>
        <xdr:cNvPr id="5" name="Chart 4">
          <a:extLst>
            <a:ext uri="{FF2B5EF4-FFF2-40B4-BE49-F238E27FC236}">
              <a16:creationId xmlns:a16="http://schemas.microsoft.com/office/drawing/2014/main" id="{8A3CA5C9-BEE4-4560-9089-4D6587B5ED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59719</xdr:colOff>
      <xdr:row>10</xdr:row>
      <xdr:rowOff>83113</xdr:rowOff>
    </xdr:from>
    <xdr:to>
      <xdr:col>19</xdr:col>
      <xdr:colOff>338703</xdr:colOff>
      <xdr:row>24</xdr:row>
      <xdr:rowOff>178036</xdr:rowOff>
    </xdr:to>
    <mc:AlternateContent xmlns:mc="http://schemas.openxmlformats.org/markup-compatibility/2006" xmlns:a14="http://schemas.microsoft.com/office/drawing/2010/main">
      <mc:Choice Requires="a14">
        <xdr:graphicFrame macro="">
          <xdr:nvGraphicFramePr>
            <xdr:cNvPr id="13" name="Category 2">
              <a:extLst>
                <a:ext uri="{FF2B5EF4-FFF2-40B4-BE49-F238E27FC236}">
                  <a16:creationId xmlns:a16="http://schemas.microsoft.com/office/drawing/2014/main" id="{FC6D27AA-F27B-4D8B-AEF6-5A0FD2050ABC}"/>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9283930" y="1954692"/>
              <a:ext cx="2738773" cy="2715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66842</xdr:colOff>
      <xdr:row>25</xdr:row>
      <xdr:rowOff>133685</xdr:rowOff>
    </xdr:from>
    <xdr:to>
      <xdr:col>19</xdr:col>
      <xdr:colOff>371642</xdr:colOff>
      <xdr:row>33</xdr:row>
      <xdr:rowOff>93579</xdr:rowOff>
    </xdr:to>
    <mc:AlternateContent xmlns:mc="http://schemas.openxmlformats.org/markup-compatibility/2006" xmlns:a14="http://schemas.microsoft.com/office/drawing/2010/main">
      <mc:Choice Requires="a14">
        <xdr:graphicFrame macro="">
          <xdr:nvGraphicFramePr>
            <xdr:cNvPr id="15" name="Stock Level">
              <a:extLst>
                <a:ext uri="{FF2B5EF4-FFF2-40B4-BE49-F238E27FC236}">
                  <a16:creationId xmlns:a16="http://schemas.microsoft.com/office/drawing/2014/main" id="{BEC6F4C6-BB46-4D3B-9DB8-D00BF608921E}"/>
                </a:ext>
              </a:extLst>
            </xdr:cNvPr>
            <xdr:cNvGraphicFramePr/>
          </xdr:nvGraphicFramePr>
          <xdr:xfrm>
            <a:off x="0" y="0"/>
            <a:ext cx="0" cy="0"/>
          </xdr:xfrm>
          <a:graphic>
            <a:graphicData uri="http://schemas.microsoft.com/office/drawing/2010/slicer">
              <sle:slicer xmlns:sle="http://schemas.microsoft.com/office/drawing/2010/slicer" name="Stock Level"/>
            </a:graphicData>
          </a:graphic>
        </xdr:graphicFrame>
      </mc:Choice>
      <mc:Fallback xmlns="">
        <xdr:sp macro="" textlink="">
          <xdr:nvSpPr>
            <xdr:cNvPr id="0" name=""/>
            <xdr:cNvSpPr>
              <a:spLocks noTextEdit="1"/>
            </xdr:cNvSpPr>
          </xdr:nvSpPr>
          <xdr:spPr>
            <a:xfrm>
              <a:off x="9291053" y="4812632"/>
              <a:ext cx="2764589" cy="14571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059.986563194441" createdVersion="8" refreshedVersion="8" minRefreshableVersion="3" recordCount="200" xr:uid="{CF214532-0660-4A04-8201-42E333FB8F38}">
  <cacheSource type="worksheet">
    <worksheetSource name="Table1"/>
  </cacheSource>
  <cacheFields count="7">
    <cacheField name="Product_Id" numFmtId="0">
      <sharedItems containsSemiMixedTypes="0" containsString="0" containsNumber="1" containsInteger="1" minValue="1" maxValue="200"/>
    </cacheField>
    <cacheField name="Name" numFmtId="0">
      <sharedItems count="200">
        <s v="Organic Bananas"/>
        <s v="Wireless Mouse"/>
        <s v="Cotton T-Shirt (M)"/>
        <s v="Ceramic Coffee Mug"/>
        <s v="AA Batteries (8pk)"/>
        <s v="Whole Milk (1L)"/>
        <s v="Yoga Mat"/>
        <s v="LED Desk Lamp"/>
        <s v="Sourdough Bread"/>
        <s v="Bluetooth Headphones"/>
        <s v="Olive Oil (500ml)"/>
        <s v="Kitchen Spatula"/>
        <s v="Running Shoes"/>
        <s v="Notebook (A5)"/>
        <s v="Ballpoint Pen (Blue)"/>
        <s v="Laptop Stand"/>
        <s v="Greek Yogurt"/>
        <s v="Denim Jeans"/>
        <s v="Cast Iron Skillet"/>
        <s v="Dumbbell (5kg)"/>
        <s v="HDMI Cable (2m)"/>
        <s v="Avocado (Single)"/>
        <s v="Winter Jacket"/>
        <s v="Cutting Board"/>
        <s v="Fountain Pen"/>
        <s v="USB-C Hub"/>
        <s v="Protein Powder (1kg)"/>
        <s v="White Rice (1kg)"/>
        <s v="Bed Sheets (Queen)"/>
        <s v="Stapler"/>
        <s v="Smartphone Case"/>
        <s v="Cheddar Cheese"/>
        <s v="Hoodie (Gray)"/>
        <s v="Non-Stick Frying Pan"/>
        <s v="Tennis Racket"/>
        <s v="Paper Clips (100pk)"/>
        <s v="External Hard Drive (1TB)"/>
        <s v="Frozen Pizza"/>
        <s v="Canvas Backpack"/>
        <s v="Electric Kettle"/>
        <s v="Water Bottle (Insulated)"/>
        <s v="Sticky Notes"/>
        <s v="Webcam (1080p)"/>
        <s v="Ground Coffee (250g)"/>
        <s v="Bath Towel"/>
        <s v="Resistance Bands"/>
        <s v="Mechanical Pencil"/>
        <s v="Power Bank (10000mAh)"/>
        <s v="Almond Milk"/>
        <s v="Kitchen Scissors"/>
        <s v="Baseball Cap"/>
        <s v="Smart Bulb"/>
        <s v="Pasta (500g)"/>
        <s v="Bath Mat"/>
        <s v="Jump Rope"/>
        <s v="Highlighter (4pk)"/>
        <s v="Ethernet Cable (5m)"/>
        <s v="Peanut Butter"/>
        <s v="Wall Clock"/>
        <s v="Soccer Ball"/>
        <s v="Whiteboard Markers"/>
        <s v="SD Card (64GB)"/>
        <s v="Honey (500g)"/>
        <s v="Measuring Cups"/>
        <s v="Leather Belt"/>
        <s v="Laptop Backpack"/>
        <s v="Kettlebell (10kg)"/>
        <s v="Desktop Calculator"/>
        <s v="Microphone (USB)"/>
        <s v="Chicken Breast (1kg)"/>
        <s v="Oven Mitts"/>
        <s v="Swimming Goggles"/>
        <s v="Desk Organizer"/>
        <s v="Wireless Earbuds"/>
        <s v="Black Tea (50 bags)"/>
        <s v="Mixing Bowls (Set)"/>
        <s v="Rain Umbrella"/>
        <s v="Yoga Block"/>
        <s v="Legal Pad"/>
        <s v="Tablet Stand"/>
        <s v="Apples (1kg)"/>
        <s v="Toaster"/>
        <s v="Running Shorts"/>
        <s v="Bike Helmet"/>
        <s v="Eraser (3pk)"/>
        <s v="VGA Adapter"/>
        <s v="Salmon Fillet"/>
        <s v="Wine Glasses (4pk)"/>
        <s v="Socks (3pk)"/>
        <s v="Punching Bag"/>
        <s v="Ring Light"/>
        <s v="Basmati Rice"/>
        <s v="Storage Bins"/>
        <s v="Clipboard"/>
        <s v="Gaming Mouse Pad"/>
        <s v="Tomato Sauce"/>
        <s v="Shower Curtain"/>
        <s v="Tracksuit Bottoms"/>
        <s v="Camping Tent (2-person)"/>
        <s v="Filing Cabinet"/>
        <s v="Monitor (24 inch)"/>
        <s v="Eggs (12pk)"/>
        <s v="Broom and Dustpan"/>
        <s v="Cargo Pants"/>
        <s v="Sleeping Bag"/>
        <s v="Hole Punch"/>
        <s v="Keychron Keyboard"/>
        <s v="Strawberry Jam"/>
        <s v="Dish Rack"/>
        <s v="Fleece Blanket"/>
        <s v="Basketball"/>
        <s v="Correction Tape"/>
        <s v="Monitor Arm"/>
        <s v="Quinoa (500g)"/>
        <s v="Velvet Hangers (20pk)"/>
        <s v="Wool Sweater"/>
        <s v="Bicycle Pump"/>
        <s v="Pencil Sharpener"/>
        <s v="Smart Plug"/>
        <s v="Potato Chips"/>
        <s v="Hand Soap"/>
        <s v="Knit Hat"/>
        <s v="Flashlight"/>
        <s v="Compass"/>
        <s v="Graphics Tablet"/>
        <s v="Canned Tuna"/>
        <s v="Trash Can"/>
        <s v="Leather Gloves"/>
        <s v="Fishing Rod"/>
        <s v="Wall Calendar"/>
        <s v="Wi-Fi Router"/>
        <s v="Orange Juice"/>
        <s v="Picture Frame"/>
        <s v="Pajama Set"/>
        <s v="Skateboard"/>
        <s v="Protractor"/>
        <s v="Laptop Sleeve"/>
        <s v="Dark Chocolate"/>
        <s v="Candle Holder"/>
        <s v="Formal Shirt"/>
        <s v="Weight Bench"/>
        <s v="Push Pins (50pk)"/>
        <s v="USB Flash Drive (32GB)"/>
        <s v="Baking Soda"/>
        <s v="Silverware Set"/>
        <s v="Swimsuit"/>
        <s v="Badminton Shuttles (6pk)"/>
        <s v="Scissors"/>
        <s v="Paper Shredder"/>
        <s v="Maple Syrup"/>
        <s v="Floor Lamp"/>
        <s v="Duffel Bag"/>
        <s v="Stopwatch"/>
        <s v="Sketchbook"/>
        <s v="Bluetooth Speaker"/>
        <s v="Granola Bars"/>
        <s v="Air Fryer"/>
        <s v="Sunglasses"/>
        <s v="Ping Pong Paddles"/>
        <s v="Envelopes (50pk)"/>
        <s v="CPU Fan"/>
        <s v="Sea Salt"/>
        <s v="Coffee Grinder"/>
        <s v="Silk Scarf"/>
        <s v="Hiking Boots"/>
        <s v="Magnifying Glass"/>
        <s v="External DVD Drive"/>
        <s v="Walnuts (200g)"/>
        <s v="Storage Rack"/>
        <s v="Polo Shirt"/>
        <s v="Ski Goggles"/>
        <s v="Index Cards"/>
        <s v="Uninterruptible Power Supply"/>
        <s v="Mustard"/>
        <s v="Ice Cube Tray"/>
        <s v="Windbreaker"/>
        <s v="Agility Ladder"/>
        <s v="Calculator Battery"/>
        <s v="Wireless Doorbell"/>
        <s v="Coconut Water"/>
        <s v="Mop and Bucket"/>
        <s v="Cardigan"/>
        <s v="Snorkel Mask"/>
        <s v="Art Markers (12pk)"/>
        <s v="Soldering Iron"/>
        <s v="Mayonnaise"/>
        <s v="Wall Mirror"/>
        <s v="Belt Bag"/>
        <s v="Hand Grip Strengthener"/>
        <s v="Glue Stick (3pk)"/>
        <s v="Laptop Cooling Pad"/>
        <s v="Soy Sauce"/>
        <s v="Plant Pot"/>
        <s v="Beanie"/>
        <s v="Foam Roller"/>
        <s v="Label Maker"/>
        <s v="Desktop Fan (USB)"/>
        <s v="Popcorn Kernels"/>
        <s v="Curtain Rod"/>
        <s v="Work Boots"/>
      </sharedItems>
    </cacheField>
    <cacheField name="Category" numFmtId="0">
      <sharedItems count="6">
        <s v="Groceries"/>
        <s v="Electronics"/>
        <s v="Apparel"/>
        <s v="Home &amp; Kitchen"/>
        <s v="Sports"/>
        <s v="Stationery"/>
      </sharedItems>
    </cacheField>
    <cacheField name="Price" numFmtId="0">
      <sharedItems containsSemiMixedTypes="0" containsString="0" containsNumber="1" minValue="0.5" maxValue="150"/>
    </cacheField>
    <cacheField name="Stock_Quantity" numFmtId="0">
      <sharedItems containsSemiMixedTypes="0" containsString="0" containsNumber="1" containsInteger="1" minValue="8" maxValue="1000"/>
    </cacheField>
    <cacheField name="Stock Value" numFmtId="0">
      <sharedItems containsSemiMixedTypes="0" containsString="0" containsNumber="1" minValue="100" maxValue="5400"/>
    </cacheField>
    <cacheField name="Stock Level" numFmtId="0">
      <sharedItems count="3">
        <s v="High"/>
        <s v="Medium"/>
        <s v="Low"/>
      </sharedItems>
    </cacheField>
  </cacheFields>
  <extLst>
    <ext xmlns:x14="http://schemas.microsoft.com/office/spreadsheetml/2009/9/main" uri="{725AE2AE-9491-48be-B2B4-4EB974FC3084}">
      <x14:pivotCacheDefinition pivotCacheId="16614889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n v="1"/>
    <x v="0"/>
    <x v="0"/>
    <n v="0.99"/>
    <n v="500"/>
    <n v="495"/>
    <x v="0"/>
  </r>
  <r>
    <n v="2"/>
    <x v="1"/>
    <x v="1"/>
    <n v="25.5"/>
    <n v="120"/>
    <n v="3060"/>
    <x v="1"/>
  </r>
  <r>
    <n v="3"/>
    <x v="2"/>
    <x v="2"/>
    <n v="15"/>
    <n v="200"/>
    <n v="3000"/>
    <x v="0"/>
  </r>
  <r>
    <n v="4"/>
    <x v="3"/>
    <x v="3"/>
    <n v="8.99"/>
    <n v="75"/>
    <n v="674.25"/>
    <x v="1"/>
  </r>
  <r>
    <n v="5"/>
    <x v="4"/>
    <x v="1"/>
    <n v="12.49"/>
    <n v="300"/>
    <n v="3747"/>
    <x v="0"/>
  </r>
  <r>
    <n v="6"/>
    <x v="5"/>
    <x v="0"/>
    <n v="1.8"/>
    <n v="150"/>
    <n v="270"/>
    <x v="1"/>
  </r>
  <r>
    <n v="7"/>
    <x v="6"/>
    <x v="4"/>
    <n v="29.99"/>
    <n v="40"/>
    <n v="1199.5999999999999"/>
    <x v="2"/>
  </r>
  <r>
    <n v="8"/>
    <x v="7"/>
    <x v="3"/>
    <n v="34"/>
    <n v="60"/>
    <n v="2040"/>
    <x v="1"/>
  </r>
  <r>
    <n v="9"/>
    <x v="8"/>
    <x v="0"/>
    <n v="4.5"/>
    <n v="30"/>
    <n v="135"/>
    <x v="2"/>
  </r>
  <r>
    <n v="10"/>
    <x v="9"/>
    <x v="1"/>
    <n v="89"/>
    <n v="55"/>
    <n v="4895"/>
    <x v="1"/>
  </r>
  <r>
    <n v="11"/>
    <x v="10"/>
    <x v="0"/>
    <n v="12"/>
    <n v="90"/>
    <n v="1080"/>
    <x v="1"/>
  </r>
  <r>
    <n v="12"/>
    <x v="11"/>
    <x v="3"/>
    <n v="5.5"/>
    <n v="110"/>
    <n v="605"/>
    <x v="1"/>
  </r>
  <r>
    <n v="13"/>
    <x v="12"/>
    <x v="4"/>
    <n v="75"/>
    <n v="25"/>
    <n v="1875"/>
    <x v="2"/>
  </r>
  <r>
    <n v="14"/>
    <x v="13"/>
    <x v="5"/>
    <n v="3.99"/>
    <n v="400"/>
    <n v="1596"/>
    <x v="0"/>
  </r>
  <r>
    <n v="15"/>
    <x v="14"/>
    <x v="5"/>
    <n v="0.5"/>
    <n v="1000"/>
    <n v="500"/>
    <x v="0"/>
  </r>
  <r>
    <n v="16"/>
    <x v="15"/>
    <x v="1"/>
    <n v="45"/>
    <n v="15"/>
    <n v="675"/>
    <x v="2"/>
  </r>
  <r>
    <n v="17"/>
    <x v="16"/>
    <x v="0"/>
    <n v="1.25"/>
    <n v="80"/>
    <n v="100"/>
    <x v="1"/>
  </r>
  <r>
    <n v="18"/>
    <x v="17"/>
    <x v="2"/>
    <n v="45.99"/>
    <n v="65"/>
    <n v="2989.35"/>
    <x v="1"/>
  </r>
  <r>
    <n v="19"/>
    <x v="18"/>
    <x v="3"/>
    <n v="40"/>
    <n v="20"/>
    <n v="800"/>
    <x v="2"/>
  </r>
  <r>
    <n v="20"/>
    <x v="19"/>
    <x v="4"/>
    <n v="15"/>
    <n v="50"/>
    <n v="750"/>
    <x v="1"/>
  </r>
  <r>
    <n v="21"/>
    <x v="20"/>
    <x v="1"/>
    <n v="10.99"/>
    <n v="150"/>
    <n v="1648.5"/>
    <x v="1"/>
  </r>
  <r>
    <n v="22"/>
    <x v="21"/>
    <x v="0"/>
    <n v="1.5"/>
    <n v="120"/>
    <n v="180"/>
    <x v="1"/>
  </r>
  <r>
    <n v="23"/>
    <x v="22"/>
    <x v="2"/>
    <n v="85"/>
    <n v="30"/>
    <n v="2550"/>
    <x v="2"/>
  </r>
  <r>
    <n v="24"/>
    <x v="23"/>
    <x v="3"/>
    <n v="19.5"/>
    <n v="45"/>
    <n v="877.5"/>
    <x v="2"/>
  </r>
  <r>
    <n v="25"/>
    <x v="24"/>
    <x v="5"/>
    <n v="25"/>
    <n v="15"/>
    <n v="375"/>
    <x v="2"/>
  </r>
  <r>
    <n v="26"/>
    <x v="25"/>
    <x v="1"/>
    <n v="35"/>
    <n v="40"/>
    <n v="1400"/>
    <x v="2"/>
  </r>
  <r>
    <n v="27"/>
    <x v="26"/>
    <x v="4"/>
    <n v="45"/>
    <n v="60"/>
    <n v="2700"/>
    <x v="1"/>
  </r>
  <r>
    <n v="28"/>
    <x v="27"/>
    <x v="0"/>
    <n v="2.2000000000000002"/>
    <n v="300"/>
    <n v="660"/>
    <x v="0"/>
  </r>
  <r>
    <n v="29"/>
    <x v="28"/>
    <x v="3"/>
    <n v="55"/>
    <n v="25"/>
    <n v="1375"/>
    <x v="2"/>
  </r>
  <r>
    <n v="30"/>
    <x v="29"/>
    <x v="5"/>
    <n v="6.5"/>
    <n v="85"/>
    <n v="552.5"/>
    <x v="1"/>
  </r>
  <r>
    <n v="31"/>
    <x v="30"/>
    <x v="1"/>
    <n v="14.99"/>
    <n v="200"/>
    <n v="2998"/>
    <x v="0"/>
  </r>
  <r>
    <n v="32"/>
    <x v="31"/>
    <x v="0"/>
    <n v="5.4"/>
    <n v="95"/>
    <n v="513"/>
    <x v="1"/>
  </r>
  <r>
    <n v="33"/>
    <x v="32"/>
    <x v="2"/>
    <n v="35"/>
    <n v="110"/>
    <n v="3850"/>
    <x v="1"/>
  </r>
  <r>
    <n v="34"/>
    <x v="33"/>
    <x v="3"/>
    <n v="28"/>
    <n v="35"/>
    <n v="980"/>
    <x v="2"/>
  </r>
  <r>
    <n v="35"/>
    <x v="34"/>
    <x v="4"/>
    <n v="120"/>
    <n v="12"/>
    <n v="1440"/>
    <x v="2"/>
  </r>
  <r>
    <n v="36"/>
    <x v="35"/>
    <x v="5"/>
    <n v="1.2"/>
    <n v="500"/>
    <n v="600"/>
    <x v="0"/>
  </r>
  <r>
    <n v="37"/>
    <x v="36"/>
    <x v="1"/>
    <n v="59.99"/>
    <n v="45"/>
    <n v="2699.55"/>
    <x v="2"/>
  </r>
  <r>
    <n v="38"/>
    <x v="37"/>
    <x v="0"/>
    <n v="6.99"/>
    <n v="60"/>
    <n v="419.40000000000003"/>
    <x v="1"/>
  </r>
  <r>
    <n v="39"/>
    <x v="38"/>
    <x v="2"/>
    <n v="42"/>
    <n v="50"/>
    <n v="2100"/>
    <x v="1"/>
  </r>
  <r>
    <n v="40"/>
    <x v="39"/>
    <x v="3"/>
    <n v="24.99"/>
    <n v="40"/>
    <n v="999.59999999999991"/>
    <x v="2"/>
  </r>
  <r>
    <n v="41"/>
    <x v="40"/>
    <x v="4"/>
    <n v="22"/>
    <n v="90"/>
    <n v="1980"/>
    <x v="1"/>
  </r>
  <r>
    <n v="42"/>
    <x v="41"/>
    <x v="5"/>
    <n v="2.5"/>
    <n v="300"/>
    <n v="750"/>
    <x v="0"/>
  </r>
  <r>
    <n v="43"/>
    <x v="42"/>
    <x v="1"/>
    <n v="49"/>
    <n v="25"/>
    <n v="1225"/>
    <x v="2"/>
  </r>
  <r>
    <n v="44"/>
    <x v="43"/>
    <x v="0"/>
    <n v="8.5"/>
    <n v="140"/>
    <n v="1190"/>
    <x v="1"/>
  </r>
  <r>
    <n v="45"/>
    <x v="44"/>
    <x v="3"/>
    <n v="12"/>
    <n v="150"/>
    <n v="1800"/>
    <x v="1"/>
  </r>
  <r>
    <n v="46"/>
    <x v="45"/>
    <x v="4"/>
    <n v="18"/>
    <n v="70"/>
    <n v="1260"/>
    <x v="1"/>
  </r>
  <r>
    <n v="47"/>
    <x v="46"/>
    <x v="5"/>
    <n v="3"/>
    <n v="250"/>
    <n v="750"/>
    <x v="0"/>
  </r>
  <r>
    <n v="48"/>
    <x v="47"/>
    <x v="1"/>
    <n v="29"/>
    <n v="80"/>
    <n v="2320"/>
    <x v="1"/>
  </r>
  <r>
    <n v="49"/>
    <x v="48"/>
    <x v="0"/>
    <n v="3.2"/>
    <n v="110"/>
    <n v="352"/>
    <x v="1"/>
  </r>
  <r>
    <n v="50"/>
    <x v="49"/>
    <x v="3"/>
    <n v="7.99"/>
    <n v="65"/>
    <n v="519.35"/>
    <x v="1"/>
  </r>
  <r>
    <n v="51"/>
    <x v="50"/>
    <x v="2"/>
    <n v="19"/>
    <n v="120"/>
    <n v="2280"/>
    <x v="1"/>
  </r>
  <r>
    <n v="52"/>
    <x v="51"/>
    <x v="1"/>
    <n v="15.99"/>
    <n v="100"/>
    <n v="1599"/>
    <x v="1"/>
  </r>
  <r>
    <n v="53"/>
    <x v="52"/>
    <x v="0"/>
    <n v="1.1000000000000001"/>
    <n v="400"/>
    <n v="440.00000000000006"/>
    <x v="0"/>
  </r>
  <r>
    <n v="54"/>
    <x v="53"/>
    <x v="3"/>
    <n v="14.5"/>
    <n v="40"/>
    <n v="580"/>
    <x v="2"/>
  </r>
  <r>
    <n v="55"/>
    <x v="54"/>
    <x v="4"/>
    <n v="10"/>
    <n v="150"/>
    <n v="1500"/>
    <x v="1"/>
  </r>
  <r>
    <n v="56"/>
    <x v="55"/>
    <x v="5"/>
    <n v="4.5"/>
    <n v="180"/>
    <n v="810"/>
    <x v="0"/>
  </r>
  <r>
    <n v="57"/>
    <x v="56"/>
    <x v="1"/>
    <n v="8.5"/>
    <n v="90"/>
    <n v="765"/>
    <x v="1"/>
  </r>
  <r>
    <n v="58"/>
    <x v="57"/>
    <x v="0"/>
    <n v="4"/>
    <n v="130"/>
    <n v="520"/>
    <x v="1"/>
  </r>
  <r>
    <n v="59"/>
    <x v="58"/>
    <x v="3"/>
    <n v="22"/>
    <n v="25"/>
    <n v="550"/>
    <x v="2"/>
  </r>
  <r>
    <n v="60"/>
    <x v="59"/>
    <x v="4"/>
    <n v="25"/>
    <n v="55"/>
    <n v="1375"/>
    <x v="1"/>
  </r>
  <r>
    <n v="61"/>
    <x v="60"/>
    <x v="5"/>
    <n v="5.5"/>
    <n v="140"/>
    <n v="770"/>
    <x v="1"/>
  </r>
  <r>
    <n v="62"/>
    <x v="61"/>
    <x v="1"/>
    <n v="18"/>
    <n v="110"/>
    <n v="1980"/>
    <x v="1"/>
  </r>
  <r>
    <n v="63"/>
    <x v="62"/>
    <x v="0"/>
    <n v="9"/>
    <n v="75"/>
    <n v="675"/>
    <x v="1"/>
  </r>
  <r>
    <n v="64"/>
    <x v="63"/>
    <x v="3"/>
    <n v="12.5"/>
    <n v="50"/>
    <n v="625"/>
    <x v="1"/>
  </r>
  <r>
    <n v="65"/>
    <x v="64"/>
    <x v="2"/>
    <n v="30"/>
    <n v="80"/>
    <n v="2400"/>
    <x v="1"/>
  </r>
  <r>
    <n v="66"/>
    <x v="65"/>
    <x v="2"/>
    <n v="55"/>
    <n v="45"/>
    <n v="2475"/>
    <x v="2"/>
  </r>
  <r>
    <n v="67"/>
    <x v="66"/>
    <x v="4"/>
    <n v="35"/>
    <n v="30"/>
    <n v="1050"/>
    <x v="2"/>
  </r>
  <r>
    <n v="68"/>
    <x v="67"/>
    <x v="5"/>
    <n v="12"/>
    <n v="60"/>
    <n v="720"/>
    <x v="1"/>
  </r>
  <r>
    <n v="69"/>
    <x v="68"/>
    <x v="1"/>
    <n v="65"/>
    <n v="20"/>
    <n v="1300"/>
    <x v="2"/>
  </r>
  <r>
    <n v="70"/>
    <x v="69"/>
    <x v="0"/>
    <n v="11"/>
    <n v="40"/>
    <n v="440"/>
    <x v="2"/>
  </r>
  <r>
    <n v="71"/>
    <x v="70"/>
    <x v="3"/>
    <n v="9"/>
    <n v="100"/>
    <n v="900"/>
    <x v="1"/>
  </r>
  <r>
    <n v="72"/>
    <x v="71"/>
    <x v="4"/>
    <n v="15"/>
    <n v="85"/>
    <n v="1275"/>
    <x v="1"/>
  </r>
  <r>
    <n v="73"/>
    <x v="72"/>
    <x v="5"/>
    <n v="18"/>
    <n v="50"/>
    <n v="900"/>
    <x v="1"/>
  </r>
  <r>
    <n v="74"/>
    <x v="73"/>
    <x v="1"/>
    <n v="45"/>
    <n v="120"/>
    <n v="5400"/>
    <x v="1"/>
  </r>
  <r>
    <n v="75"/>
    <x v="74"/>
    <x v="0"/>
    <n v="3.5"/>
    <n v="200"/>
    <n v="700"/>
    <x v="0"/>
  </r>
  <r>
    <n v="76"/>
    <x v="75"/>
    <x v="3"/>
    <n v="24"/>
    <n v="35"/>
    <n v="840"/>
    <x v="2"/>
  </r>
  <r>
    <n v="77"/>
    <x v="76"/>
    <x v="2"/>
    <n v="15"/>
    <n v="70"/>
    <n v="1050"/>
    <x v="1"/>
  </r>
  <r>
    <n v="78"/>
    <x v="77"/>
    <x v="4"/>
    <n v="8"/>
    <n v="110"/>
    <n v="880"/>
    <x v="1"/>
  </r>
  <r>
    <n v="79"/>
    <x v="78"/>
    <x v="5"/>
    <n v="4"/>
    <n v="220"/>
    <n v="880"/>
    <x v="0"/>
  </r>
  <r>
    <n v="80"/>
    <x v="79"/>
    <x v="1"/>
    <n v="19.989999999999998"/>
    <n v="60"/>
    <n v="1199.3999999999999"/>
    <x v="1"/>
  </r>
  <r>
    <n v="81"/>
    <x v="80"/>
    <x v="0"/>
    <n v="2.5"/>
    <n v="180"/>
    <n v="450"/>
    <x v="0"/>
  </r>
  <r>
    <n v="82"/>
    <x v="81"/>
    <x v="3"/>
    <n v="32"/>
    <n v="30"/>
    <n v="960"/>
    <x v="2"/>
  </r>
  <r>
    <n v="83"/>
    <x v="82"/>
    <x v="2"/>
    <n v="22"/>
    <n v="95"/>
    <n v="2090"/>
    <x v="1"/>
  </r>
  <r>
    <n v="84"/>
    <x v="83"/>
    <x v="4"/>
    <n v="45"/>
    <n v="25"/>
    <n v="1125"/>
    <x v="2"/>
  </r>
  <r>
    <n v="85"/>
    <x v="84"/>
    <x v="5"/>
    <n v="1.5"/>
    <n v="400"/>
    <n v="600"/>
    <x v="0"/>
  </r>
  <r>
    <n v="86"/>
    <x v="85"/>
    <x v="1"/>
    <n v="12"/>
    <n v="40"/>
    <n v="480"/>
    <x v="2"/>
  </r>
  <r>
    <n v="87"/>
    <x v="86"/>
    <x v="0"/>
    <n v="18"/>
    <n v="25"/>
    <n v="450"/>
    <x v="2"/>
  </r>
  <r>
    <n v="88"/>
    <x v="87"/>
    <x v="3"/>
    <n v="28"/>
    <n v="20"/>
    <n v="560"/>
    <x v="2"/>
  </r>
  <r>
    <n v="89"/>
    <x v="88"/>
    <x v="2"/>
    <n v="12"/>
    <n v="300"/>
    <n v="3600"/>
    <x v="0"/>
  </r>
  <r>
    <n v="90"/>
    <x v="89"/>
    <x v="4"/>
    <n v="150"/>
    <n v="10"/>
    <n v="1500"/>
    <x v="2"/>
  </r>
  <r>
    <n v="91"/>
    <x v="90"/>
    <x v="1"/>
    <n v="35"/>
    <n v="55"/>
    <n v="1925"/>
    <x v="1"/>
  </r>
  <r>
    <n v="92"/>
    <x v="91"/>
    <x v="0"/>
    <n v="4.5"/>
    <n v="150"/>
    <n v="675"/>
    <x v="1"/>
  </r>
  <r>
    <n v="93"/>
    <x v="92"/>
    <x v="3"/>
    <n v="15"/>
    <n v="80"/>
    <n v="1200"/>
    <x v="1"/>
  </r>
  <r>
    <n v="94"/>
    <x v="93"/>
    <x v="5"/>
    <n v="3.5"/>
    <n v="120"/>
    <n v="420"/>
    <x v="1"/>
  </r>
  <r>
    <n v="95"/>
    <x v="94"/>
    <x v="1"/>
    <n v="15"/>
    <n v="140"/>
    <n v="2100"/>
    <x v="1"/>
  </r>
  <r>
    <n v="96"/>
    <x v="95"/>
    <x v="0"/>
    <n v="1.8"/>
    <n v="250"/>
    <n v="450"/>
    <x v="0"/>
  </r>
  <r>
    <n v="97"/>
    <x v="96"/>
    <x v="3"/>
    <n v="20"/>
    <n v="45"/>
    <n v="900"/>
    <x v="2"/>
  </r>
  <r>
    <n v="98"/>
    <x v="97"/>
    <x v="2"/>
    <n v="40"/>
    <n v="60"/>
    <n v="2400"/>
    <x v="1"/>
  </r>
  <r>
    <n v="99"/>
    <x v="98"/>
    <x v="4"/>
    <n v="85"/>
    <n v="15"/>
    <n v="1275"/>
    <x v="2"/>
  </r>
  <r>
    <n v="100"/>
    <x v="99"/>
    <x v="5"/>
    <n v="120"/>
    <n v="8"/>
    <n v="960"/>
    <x v="2"/>
  </r>
  <r>
    <n v="101"/>
    <x v="100"/>
    <x v="1"/>
    <n v="149"/>
    <n v="30"/>
    <n v="4470"/>
    <x v="2"/>
  </r>
  <r>
    <n v="102"/>
    <x v="101"/>
    <x v="0"/>
    <n v="3.5"/>
    <n v="200"/>
    <n v="700"/>
    <x v="0"/>
  </r>
  <r>
    <n v="103"/>
    <x v="102"/>
    <x v="3"/>
    <n v="15.99"/>
    <n v="60"/>
    <n v="959.4"/>
    <x v="1"/>
  </r>
  <r>
    <n v="104"/>
    <x v="103"/>
    <x v="2"/>
    <n v="38"/>
    <n v="75"/>
    <n v="2850"/>
    <x v="1"/>
  </r>
  <r>
    <n v="105"/>
    <x v="104"/>
    <x v="4"/>
    <n v="50"/>
    <n v="20"/>
    <n v="1000"/>
    <x v="2"/>
  </r>
  <r>
    <n v="106"/>
    <x v="105"/>
    <x v="5"/>
    <n v="8"/>
    <n v="45"/>
    <n v="360"/>
    <x v="2"/>
  </r>
  <r>
    <n v="107"/>
    <x v="106"/>
    <x v="1"/>
    <n v="99"/>
    <n v="25"/>
    <n v="2475"/>
    <x v="2"/>
  </r>
  <r>
    <n v="108"/>
    <x v="107"/>
    <x v="0"/>
    <n v="3.8"/>
    <n v="90"/>
    <n v="342"/>
    <x v="1"/>
  </r>
  <r>
    <n v="109"/>
    <x v="108"/>
    <x v="3"/>
    <n v="22"/>
    <n v="40"/>
    <n v="880"/>
    <x v="2"/>
  </r>
  <r>
    <n v="110"/>
    <x v="109"/>
    <x v="3"/>
    <n v="18"/>
    <n v="100"/>
    <n v="1800"/>
    <x v="1"/>
  </r>
  <r>
    <n v="111"/>
    <x v="110"/>
    <x v="4"/>
    <n v="28"/>
    <n v="65"/>
    <n v="1820"/>
    <x v="1"/>
  </r>
  <r>
    <n v="112"/>
    <x v="111"/>
    <x v="5"/>
    <n v="2.5"/>
    <n v="200"/>
    <n v="500"/>
    <x v="0"/>
  </r>
  <r>
    <n v="113"/>
    <x v="112"/>
    <x v="1"/>
    <n v="45"/>
    <n v="20"/>
    <n v="900"/>
    <x v="2"/>
  </r>
  <r>
    <n v="114"/>
    <x v="113"/>
    <x v="0"/>
    <n v="5"/>
    <n v="120"/>
    <n v="600"/>
    <x v="1"/>
  </r>
  <r>
    <n v="115"/>
    <x v="114"/>
    <x v="3"/>
    <n v="15"/>
    <n v="150"/>
    <n v="2250"/>
    <x v="1"/>
  </r>
  <r>
    <n v="116"/>
    <x v="115"/>
    <x v="2"/>
    <n v="55"/>
    <n v="40"/>
    <n v="2200"/>
    <x v="2"/>
  </r>
  <r>
    <n v="117"/>
    <x v="116"/>
    <x v="4"/>
    <n v="20"/>
    <n v="35"/>
    <n v="700"/>
    <x v="2"/>
  </r>
  <r>
    <n v="118"/>
    <x v="117"/>
    <x v="5"/>
    <n v="1.5"/>
    <n v="300"/>
    <n v="450"/>
    <x v="0"/>
  </r>
  <r>
    <n v="119"/>
    <x v="118"/>
    <x v="1"/>
    <n v="12.99"/>
    <n v="110"/>
    <n v="1428.9"/>
    <x v="1"/>
  </r>
  <r>
    <n v="120"/>
    <x v="119"/>
    <x v="0"/>
    <n v="2.5"/>
    <n v="250"/>
    <n v="625"/>
    <x v="0"/>
  </r>
  <r>
    <n v="121"/>
    <x v="120"/>
    <x v="3"/>
    <n v="3"/>
    <n v="300"/>
    <n v="900"/>
    <x v="0"/>
  </r>
  <r>
    <n v="122"/>
    <x v="121"/>
    <x v="2"/>
    <n v="14"/>
    <n v="90"/>
    <n v="1260"/>
    <x v="1"/>
  </r>
  <r>
    <n v="123"/>
    <x v="122"/>
    <x v="4"/>
    <n v="15"/>
    <n v="80"/>
    <n v="1200"/>
    <x v="1"/>
  </r>
  <r>
    <n v="124"/>
    <x v="123"/>
    <x v="5"/>
    <n v="5"/>
    <n v="50"/>
    <n v="250"/>
    <x v="1"/>
  </r>
  <r>
    <n v="125"/>
    <x v="124"/>
    <x v="1"/>
    <n v="80"/>
    <n v="15"/>
    <n v="1200"/>
    <x v="2"/>
  </r>
  <r>
    <n v="126"/>
    <x v="125"/>
    <x v="0"/>
    <n v="1.5"/>
    <n v="400"/>
    <n v="600"/>
    <x v="0"/>
  </r>
  <r>
    <n v="127"/>
    <x v="126"/>
    <x v="3"/>
    <n v="25"/>
    <n v="45"/>
    <n v="1125"/>
    <x v="2"/>
  </r>
  <r>
    <n v="128"/>
    <x v="127"/>
    <x v="2"/>
    <n v="28"/>
    <n v="60"/>
    <n v="1680"/>
    <x v="1"/>
  </r>
  <r>
    <n v="129"/>
    <x v="128"/>
    <x v="4"/>
    <n v="65"/>
    <n v="20"/>
    <n v="1300"/>
    <x v="2"/>
  </r>
  <r>
    <n v="130"/>
    <x v="129"/>
    <x v="5"/>
    <n v="10"/>
    <n v="100"/>
    <n v="1000"/>
    <x v="1"/>
  </r>
  <r>
    <n v="131"/>
    <x v="130"/>
    <x v="1"/>
    <n v="85"/>
    <n v="25"/>
    <n v="2125"/>
    <x v="2"/>
  </r>
  <r>
    <n v="132"/>
    <x v="131"/>
    <x v="0"/>
    <n v="3"/>
    <n v="180"/>
    <n v="540"/>
    <x v="0"/>
  </r>
  <r>
    <n v="133"/>
    <x v="132"/>
    <x v="3"/>
    <n v="12"/>
    <n v="110"/>
    <n v="1320"/>
    <x v="1"/>
  </r>
  <r>
    <n v="134"/>
    <x v="133"/>
    <x v="2"/>
    <n v="25"/>
    <n v="85"/>
    <n v="2125"/>
    <x v="1"/>
  </r>
  <r>
    <n v="135"/>
    <x v="134"/>
    <x v="4"/>
    <n v="55"/>
    <n v="18"/>
    <n v="990"/>
    <x v="2"/>
  </r>
  <r>
    <n v="136"/>
    <x v="135"/>
    <x v="5"/>
    <n v="1"/>
    <n v="200"/>
    <n v="200"/>
    <x v="0"/>
  </r>
  <r>
    <n v="137"/>
    <x v="136"/>
    <x v="1"/>
    <n v="20"/>
    <n v="90"/>
    <n v="1800"/>
    <x v="1"/>
  </r>
  <r>
    <n v="138"/>
    <x v="137"/>
    <x v="0"/>
    <n v="2.8"/>
    <n v="150"/>
    <n v="420"/>
    <x v="1"/>
  </r>
  <r>
    <n v="139"/>
    <x v="138"/>
    <x v="3"/>
    <n v="14"/>
    <n v="55"/>
    <n v="770"/>
    <x v="1"/>
  </r>
  <r>
    <n v="140"/>
    <x v="139"/>
    <x v="2"/>
    <n v="45"/>
    <n v="70"/>
    <n v="3150"/>
    <x v="1"/>
  </r>
  <r>
    <n v="141"/>
    <x v="140"/>
    <x v="4"/>
    <n v="130"/>
    <n v="8"/>
    <n v="1040"/>
    <x v="2"/>
  </r>
  <r>
    <n v="142"/>
    <x v="141"/>
    <x v="5"/>
    <n v="2"/>
    <n v="400"/>
    <n v="800"/>
    <x v="0"/>
  </r>
  <r>
    <n v="143"/>
    <x v="142"/>
    <x v="1"/>
    <n v="9"/>
    <n v="250"/>
    <n v="2250"/>
    <x v="0"/>
  </r>
  <r>
    <n v="144"/>
    <x v="143"/>
    <x v="0"/>
    <n v="1.2"/>
    <n v="180"/>
    <n v="216"/>
    <x v="0"/>
  </r>
  <r>
    <n v="145"/>
    <x v="144"/>
    <x v="3"/>
    <n v="45"/>
    <n v="30"/>
    <n v="1350"/>
    <x v="2"/>
  </r>
  <r>
    <n v="146"/>
    <x v="145"/>
    <x v="2"/>
    <n v="35"/>
    <n v="50"/>
    <n v="1750"/>
    <x v="1"/>
  </r>
  <r>
    <n v="147"/>
    <x v="146"/>
    <x v="4"/>
    <n v="12"/>
    <n v="100"/>
    <n v="1200"/>
    <x v="1"/>
  </r>
  <r>
    <n v="148"/>
    <x v="147"/>
    <x v="5"/>
    <n v="4.5"/>
    <n v="150"/>
    <n v="675"/>
    <x v="1"/>
  </r>
  <r>
    <n v="149"/>
    <x v="148"/>
    <x v="1"/>
    <n v="55"/>
    <n v="12"/>
    <n v="660"/>
    <x v="2"/>
  </r>
  <r>
    <n v="150"/>
    <x v="149"/>
    <x v="0"/>
    <n v="10"/>
    <n v="60"/>
    <n v="600"/>
    <x v="1"/>
  </r>
  <r>
    <n v="151"/>
    <x v="150"/>
    <x v="3"/>
    <n v="48"/>
    <n v="20"/>
    <n v="960"/>
    <x v="2"/>
  </r>
  <r>
    <n v="152"/>
    <x v="151"/>
    <x v="2"/>
    <n v="40"/>
    <n v="45"/>
    <n v="1800"/>
    <x v="2"/>
  </r>
  <r>
    <n v="153"/>
    <x v="152"/>
    <x v="4"/>
    <n v="12"/>
    <n v="70"/>
    <n v="840"/>
    <x v="1"/>
  </r>
  <r>
    <n v="154"/>
    <x v="153"/>
    <x v="5"/>
    <n v="9"/>
    <n v="130"/>
    <n v="1170"/>
    <x v="1"/>
  </r>
  <r>
    <n v="155"/>
    <x v="154"/>
    <x v="1"/>
    <n v="35"/>
    <n v="85"/>
    <n v="2975"/>
    <x v="1"/>
  </r>
  <r>
    <n v="156"/>
    <x v="155"/>
    <x v="0"/>
    <n v="4.5"/>
    <n v="200"/>
    <n v="900"/>
    <x v="0"/>
  </r>
  <r>
    <n v="157"/>
    <x v="156"/>
    <x v="3"/>
    <n v="89"/>
    <n v="15"/>
    <n v="1335"/>
    <x v="2"/>
  </r>
  <r>
    <n v="158"/>
    <x v="157"/>
    <x v="2"/>
    <n v="15"/>
    <n v="120"/>
    <n v="1800"/>
    <x v="1"/>
  </r>
  <r>
    <n v="159"/>
    <x v="158"/>
    <x v="4"/>
    <n v="20"/>
    <n v="40"/>
    <n v="800"/>
    <x v="2"/>
  </r>
  <r>
    <n v="160"/>
    <x v="159"/>
    <x v="5"/>
    <n v="3"/>
    <n v="350"/>
    <n v="1050"/>
    <x v="0"/>
  </r>
  <r>
    <n v="161"/>
    <x v="160"/>
    <x v="1"/>
    <n v="25"/>
    <n v="40"/>
    <n v="1000"/>
    <x v="2"/>
  </r>
  <r>
    <n v="162"/>
    <x v="161"/>
    <x v="0"/>
    <n v="2"/>
    <n v="220"/>
    <n v="440"/>
    <x v="0"/>
  </r>
  <r>
    <n v="163"/>
    <x v="162"/>
    <x v="3"/>
    <n v="35"/>
    <n v="25"/>
    <n v="875"/>
    <x v="2"/>
  </r>
  <r>
    <n v="164"/>
    <x v="163"/>
    <x v="2"/>
    <n v="22"/>
    <n v="60"/>
    <n v="1320"/>
    <x v="1"/>
  </r>
  <r>
    <n v="165"/>
    <x v="164"/>
    <x v="4"/>
    <n v="95"/>
    <n v="30"/>
    <n v="2850"/>
    <x v="2"/>
  </r>
  <r>
    <n v="166"/>
    <x v="165"/>
    <x v="5"/>
    <n v="6"/>
    <n v="40"/>
    <n v="240"/>
    <x v="2"/>
  </r>
  <r>
    <n v="167"/>
    <x v="166"/>
    <x v="1"/>
    <n v="29"/>
    <n v="15"/>
    <n v="435"/>
    <x v="2"/>
  </r>
  <r>
    <n v="168"/>
    <x v="167"/>
    <x v="0"/>
    <n v="5.5"/>
    <n v="100"/>
    <n v="550"/>
    <x v="1"/>
  </r>
  <r>
    <n v="169"/>
    <x v="168"/>
    <x v="3"/>
    <n v="60"/>
    <n v="10"/>
    <n v="600"/>
    <x v="2"/>
  </r>
  <r>
    <n v="170"/>
    <x v="169"/>
    <x v="2"/>
    <n v="28"/>
    <n v="85"/>
    <n v="2380"/>
    <x v="1"/>
  </r>
  <r>
    <n v="171"/>
    <x v="170"/>
    <x v="4"/>
    <n v="55"/>
    <n v="20"/>
    <n v="1100"/>
    <x v="2"/>
  </r>
  <r>
    <n v="172"/>
    <x v="171"/>
    <x v="5"/>
    <n v="2.5"/>
    <n v="300"/>
    <n v="750"/>
    <x v="0"/>
  </r>
  <r>
    <n v="173"/>
    <x v="172"/>
    <x v="1"/>
    <n v="120"/>
    <n v="8"/>
    <n v="960"/>
    <x v="2"/>
  </r>
  <r>
    <n v="174"/>
    <x v="173"/>
    <x v="0"/>
    <n v="2.2000000000000002"/>
    <n v="180"/>
    <n v="396.00000000000006"/>
    <x v="0"/>
  </r>
  <r>
    <n v="175"/>
    <x v="174"/>
    <x v="3"/>
    <n v="4"/>
    <n v="150"/>
    <n v="600"/>
    <x v="1"/>
  </r>
  <r>
    <n v="176"/>
    <x v="175"/>
    <x v="2"/>
    <n v="50"/>
    <n v="40"/>
    <n v="2000"/>
    <x v="2"/>
  </r>
  <r>
    <n v="177"/>
    <x v="176"/>
    <x v="4"/>
    <n v="22"/>
    <n v="30"/>
    <n v="660"/>
    <x v="2"/>
  </r>
  <r>
    <n v="178"/>
    <x v="177"/>
    <x v="5"/>
    <n v="3"/>
    <n v="100"/>
    <n v="300"/>
    <x v="1"/>
  </r>
  <r>
    <n v="179"/>
    <x v="178"/>
    <x v="1"/>
    <n v="25"/>
    <n v="50"/>
    <n v="1250"/>
    <x v="1"/>
  </r>
  <r>
    <n v="180"/>
    <x v="179"/>
    <x v="0"/>
    <n v="2.5"/>
    <n v="140"/>
    <n v="350"/>
    <x v="1"/>
  </r>
  <r>
    <n v="181"/>
    <x v="180"/>
    <x v="3"/>
    <n v="28"/>
    <n v="35"/>
    <n v="980"/>
    <x v="2"/>
  </r>
  <r>
    <n v="182"/>
    <x v="181"/>
    <x v="2"/>
    <n v="42"/>
    <n v="55"/>
    <n v="2310"/>
    <x v="1"/>
  </r>
  <r>
    <n v="183"/>
    <x v="182"/>
    <x v="4"/>
    <n v="30"/>
    <n v="45"/>
    <n v="1350"/>
    <x v="2"/>
  </r>
  <r>
    <n v="184"/>
    <x v="183"/>
    <x v="5"/>
    <n v="15"/>
    <n v="80"/>
    <n v="1200"/>
    <x v="1"/>
  </r>
  <r>
    <n v="185"/>
    <x v="184"/>
    <x v="1"/>
    <n v="20"/>
    <n v="30"/>
    <n v="600"/>
    <x v="2"/>
  </r>
  <r>
    <n v="186"/>
    <x v="185"/>
    <x v="0"/>
    <n v="3.5"/>
    <n v="160"/>
    <n v="560"/>
    <x v="0"/>
  </r>
  <r>
    <n v="187"/>
    <x v="186"/>
    <x v="3"/>
    <n v="40"/>
    <n v="15"/>
    <n v="600"/>
    <x v="2"/>
  </r>
  <r>
    <n v="188"/>
    <x v="187"/>
    <x v="2"/>
    <n v="25"/>
    <n v="90"/>
    <n v="2250"/>
    <x v="1"/>
  </r>
  <r>
    <n v="189"/>
    <x v="188"/>
    <x v="4"/>
    <n v="8"/>
    <n v="120"/>
    <n v="960"/>
    <x v="1"/>
  </r>
  <r>
    <n v="190"/>
    <x v="189"/>
    <x v="5"/>
    <n v="2.5"/>
    <n v="250"/>
    <n v="625"/>
    <x v="0"/>
  </r>
  <r>
    <n v="191"/>
    <x v="190"/>
    <x v="1"/>
    <n v="22"/>
    <n v="45"/>
    <n v="990"/>
    <x v="2"/>
  </r>
  <r>
    <n v="192"/>
    <x v="191"/>
    <x v="0"/>
    <n v="2.99"/>
    <n v="130"/>
    <n v="388.70000000000005"/>
    <x v="1"/>
  </r>
  <r>
    <n v="193"/>
    <x v="192"/>
    <x v="3"/>
    <n v="12"/>
    <n v="80"/>
    <n v="960"/>
    <x v="1"/>
  </r>
  <r>
    <n v="194"/>
    <x v="193"/>
    <x v="2"/>
    <n v="12"/>
    <n v="110"/>
    <n v="1320"/>
    <x v="1"/>
  </r>
  <r>
    <n v="195"/>
    <x v="194"/>
    <x v="4"/>
    <n v="25"/>
    <n v="40"/>
    <n v="1000"/>
    <x v="2"/>
  </r>
  <r>
    <n v="196"/>
    <x v="195"/>
    <x v="5"/>
    <n v="35"/>
    <n v="20"/>
    <n v="700"/>
    <x v="2"/>
  </r>
  <r>
    <n v="197"/>
    <x v="196"/>
    <x v="1"/>
    <n v="15"/>
    <n v="60"/>
    <n v="900"/>
    <x v="1"/>
  </r>
  <r>
    <n v="198"/>
    <x v="197"/>
    <x v="0"/>
    <n v="1.5"/>
    <n v="200"/>
    <n v="300"/>
    <x v="0"/>
  </r>
  <r>
    <n v="199"/>
    <x v="198"/>
    <x v="3"/>
    <n v="25"/>
    <n v="30"/>
    <n v="750"/>
    <x v="2"/>
  </r>
  <r>
    <n v="200"/>
    <x v="199"/>
    <x v="2"/>
    <n v="110"/>
    <n v="25"/>
    <n v="275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7EAA86-C51E-4DEF-940E-F10A46CB973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4" firstHeaderRow="0" firstDataRow="1" firstDataCol="0"/>
  <pivotFields count="7">
    <pivotField dataField="1" showAll="0"/>
    <pivotField showAll="0"/>
    <pivotField showAll="0">
      <items count="7">
        <item x="2"/>
        <item x="1"/>
        <item x="0"/>
        <item x="3"/>
        <item x="4"/>
        <item x="5"/>
        <item t="default"/>
      </items>
    </pivotField>
    <pivotField showAll="0"/>
    <pivotField dataField="1" showAll="0"/>
    <pivotField dataField="1" showAll="0"/>
    <pivotField showAll="0"/>
  </pivotFields>
  <rowItems count="1">
    <i/>
  </rowItems>
  <colFields count="1">
    <field x="-2"/>
  </colFields>
  <colItems count="3">
    <i>
      <x/>
    </i>
    <i i="1">
      <x v="1"/>
    </i>
    <i i="2">
      <x v="2"/>
    </i>
  </colItems>
  <dataFields count="3">
    <dataField name="Count of Product_Id" fld="0" subtotal="count" baseField="0" baseItem="1"/>
    <dataField name="Sum of Stock_Quantity" fld="4" baseField="0" baseItem="0"/>
    <dataField name="Sum of Stock Value" fld="5" baseField="0" baseItem="2"/>
  </dataFields>
  <chartFormats count="6">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10" format="12" series="1">
      <pivotArea type="data" outline="0" fieldPosition="0">
        <references count="1">
          <reference field="4294967294" count="1" selected="0">
            <x v="0"/>
          </reference>
        </references>
      </pivotArea>
    </chartFormat>
    <chartFormat chart="10" format="13"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69C105-967A-4D53-A5E6-FB88E50A9AD6}"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location ref="A3:B9" firstHeaderRow="1" firstDataRow="1" firstDataCol="1"/>
  <pivotFields count="7">
    <pivotField showAll="0"/>
    <pivotField showAll="0"/>
    <pivotField axis="axisRow" showAll="0" sortType="descending">
      <items count="7">
        <item x="5"/>
        <item x="4"/>
        <item x="3"/>
        <item x="0"/>
        <item x="1"/>
        <item x="2"/>
        <item t="default"/>
      </items>
    </pivotField>
    <pivotField showAll="0"/>
    <pivotField dataField="1" showAll="0"/>
    <pivotField showAll="0"/>
    <pivotField showAll="0"/>
  </pivotFields>
  <rowFields count="1">
    <field x="2"/>
  </rowFields>
  <rowItems count="6">
    <i>
      <x/>
    </i>
    <i>
      <x v="1"/>
    </i>
    <i>
      <x v="2"/>
    </i>
    <i>
      <x v="3"/>
    </i>
    <i>
      <x v="4"/>
    </i>
    <i>
      <x v="5"/>
    </i>
  </rowItems>
  <colItems count="1">
    <i/>
  </colItems>
  <dataFields count="1">
    <dataField name="Sum of Stock_Quantity" fld="4" baseField="0" baseItem="0"/>
  </dataFields>
  <chartFormats count="5">
    <chartFormat chart="1" format="1"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17" format="6"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AAB691-0AE8-4022-BA5B-28D2D25257F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3:B9" firstHeaderRow="1" firstDataRow="1" firstDataCol="1"/>
  <pivotFields count="7">
    <pivotField showAll="0"/>
    <pivotField showAll="0"/>
    <pivotField axis="axisRow" showAll="0">
      <items count="7">
        <item x="2"/>
        <item x="1"/>
        <item x="0"/>
        <item x="3"/>
        <item x="4"/>
        <item x="5"/>
        <item t="default"/>
      </items>
    </pivotField>
    <pivotField showAll="0"/>
    <pivotField showAll="0"/>
    <pivotField dataField="1" showAll="0"/>
    <pivotField showAll="0">
      <items count="4">
        <item x="0"/>
        <item x="2"/>
        <item x="1"/>
        <item t="default"/>
      </items>
    </pivotField>
  </pivotFields>
  <rowFields count="1">
    <field x="2"/>
  </rowFields>
  <rowItems count="6">
    <i>
      <x/>
    </i>
    <i>
      <x v="1"/>
    </i>
    <i>
      <x v="2"/>
    </i>
    <i>
      <x v="3"/>
    </i>
    <i>
      <x v="4"/>
    </i>
    <i>
      <x v="5"/>
    </i>
  </rowItems>
  <colItems count="1">
    <i/>
  </colItems>
  <dataFields count="1">
    <dataField name="Sum of Stock Value" fld="5" baseField="0" baseItem="0"/>
  </dataFields>
  <chartFormats count="7">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CEC356-1584-43CF-A3DB-8161140E2B2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73" firstHeaderRow="1" firstDataRow="1" firstDataCol="1" rowPageCount="1" colPageCount="1"/>
  <pivotFields count="7">
    <pivotField showAll="0"/>
    <pivotField axis="axisRow" showAll="0">
      <items count="201">
        <item x="4"/>
        <item x="176"/>
        <item x="156"/>
        <item x="48"/>
        <item x="80"/>
        <item x="183"/>
        <item x="21"/>
        <item x="146"/>
        <item x="143"/>
        <item x="14"/>
        <item x="50"/>
        <item x="110"/>
        <item x="91"/>
        <item x="53"/>
        <item x="44"/>
        <item x="193"/>
        <item x="28"/>
        <item x="187"/>
        <item x="116"/>
        <item x="83"/>
        <item x="74"/>
        <item x="9"/>
        <item x="154"/>
        <item x="102"/>
        <item x="177"/>
        <item x="98"/>
        <item x="138"/>
        <item x="125"/>
        <item x="38"/>
        <item x="181"/>
        <item x="103"/>
        <item x="18"/>
        <item x="3"/>
        <item x="31"/>
        <item x="69"/>
        <item x="93"/>
        <item x="179"/>
        <item x="162"/>
        <item x="123"/>
        <item x="111"/>
        <item x="2"/>
        <item x="160"/>
        <item x="198"/>
        <item x="23"/>
        <item x="137"/>
        <item x="17"/>
        <item x="72"/>
        <item x="67"/>
        <item x="196"/>
        <item x="108"/>
        <item x="151"/>
        <item x="19"/>
        <item x="101"/>
        <item x="39"/>
        <item x="159"/>
        <item x="84"/>
        <item x="56"/>
        <item x="166"/>
        <item x="36"/>
        <item x="99"/>
        <item x="128"/>
        <item x="122"/>
        <item x="109"/>
        <item x="150"/>
        <item x="194"/>
        <item x="139"/>
        <item x="24"/>
        <item x="37"/>
        <item x="94"/>
        <item x="189"/>
        <item x="155"/>
        <item x="124"/>
        <item x="16"/>
        <item x="43"/>
        <item x="188"/>
        <item x="120"/>
        <item x="20"/>
        <item x="55"/>
        <item x="164"/>
        <item x="105"/>
        <item x="62"/>
        <item x="32"/>
        <item x="174"/>
        <item x="171"/>
        <item x="54"/>
        <item x="66"/>
        <item x="106"/>
        <item x="49"/>
        <item x="11"/>
        <item x="121"/>
        <item x="195"/>
        <item x="65"/>
        <item x="190"/>
        <item x="136"/>
        <item x="15"/>
        <item x="64"/>
        <item x="127"/>
        <item x="7"/>
        <item x="78"/>
        <item x="165"/>
        <item x="149"/>
        <item x="185"/>
        <item x="63"/>
        <item x="46"/>
        <item x="68"/>
        <item x="75"/>
        <item x="100"/>
        <item x="112"/>
        <item x="180"/>
        <item x="173"/>
        <item x="33"/>
        <item x="13"/>
        <item x="10"/>
        <item x="131"/>
        <item x="0"/>
        <item x="70"/>
        <item x="133"/>
        <item x="35"/>
        <item x="148"/>
        <item x="52"/>
        <item x="57"/>
        <item x="117"/>
        <item x="132"/>
        <item x="158"/>
        <item x="192"/>
        <item x="169"/>
        <item x="197"/>
        <item x="119"/>
        <item x="47"/>
        <item x="26"/>
        <item x="135"/>
        <item x="89"/>
        <item x="141"/>
        <item x="113"/>
        <item x="76"/>
        <item x="45"/>
        <item x="90"/>
        <item x="12"/>
        <item x="82"/>
        <item x="86"/>
        <item x="147"/>
        <item x="61"/>
        <item x="161"/>
        <item x="96"/>
        <item x="163"/>
        <item x="144"/>
        <item x="134"/>
        <item x="153"/>
        <item x="170"/>
        <item x="104"/>
        <item x="51"/>
        <item x="118"/>
        <item x="30"/>
        <item x="182"/>
        <item x="59"/>
        <item x="88"/>
        <item x="184"/>
        <item x="8"/>
        <item x="191"/>
        <item x="29"/>
        <item x="41"/>
        <item x="152"/>
        <item x="92"/>
        <item x="168"/>
        <item x="107"/>
        <item x="157"/>
        <item x="71"/>
        <item x="145"/>
        <item x="79"/>
        <item x="34"/>
        <item x="81"/>
        <item x="95"/>
        <item x="97"/>
        <item x="126"/>
        <item x="172"/>
        <item x="142"/>
        <item x="25"/>
        <item x="114"/>
        <item x="85"/>
        <item x="129"/>
        <item x="58"/>
        <item x="186"/>
        <item x="167"/>
        <item x="40"/>
        <item x="42"/>
        <item x="140"/>
        <item x="27"/>
        <item x="60"/>
        <item x="5"/>
        <item x="130"/>
        <item x="175"/>
        <item x="87"/>
        <item x="22"/>
        <item x="178"/>
        <item x="73"/>
        <item x="1"/>
        <item x="115"/>
        <item x="199"/>
        <item x="77"/>
        <item x="6"/>
        <item t="default"/>
      </items>
    </pivotField>
    <pivotField showAll="0">
      <items count="7">
        <item x="2"/>
        <item x="1"/>
        <item x="0"/>
        <item x="3"/>
        <item x="4"/>
        <item x="5"/>
        <item t="default"/>
      </items>
    </pivotField>
    <pivotField showAll="0"/>
    <pivotField dataField="1" showAll="0"/>
    <pivotField showAll="0"/>
    <pivotField axis="axisPage" showAll="0">
      <items count="4">
        <item x="0"/>
        <item x="2"/>
        <item x="1"/>
        <item t="default"/>
      </items>
    </pivotField>
  </pivotFields>
  <rowFields count="1">
    <field x="1"/>
  </rowFields>
  <rowItems count="70">
    <i>
      <x v="1"/>
    </i>
    <i>
      <x v="2"/>
    </i>
    <i>
      <x v="13"/>
    </i>
    <i>
      <x v="16"/>
    </i>
    <i>
      <x v="18"/>
    </i>
    <i>
      <x v="19"/>
    </i>
    <i>
      <x v="25"/>
    </i>
    <i>
      <x v="31"/>
    </i>
    <i>
      <x v="34"/>
    </i>
    <i>
      <x v="37"/>
    </i>
    <i>
      <x v="41"/>
    </i>
    <i>
      <x v="42"/>
    </i>
    <i>
      <x v="43"/>
    </i>
    <i>
      <x v="49"/>
    </i>
    <i>
      <x v="50"/>
    </i>
    <i>
      <x v="53"/>
    </i>
    <i>
      <x v="57"/>
    </i>
    <i>
      <x v="58"/>
    </i>
    <i>
      <x v="59"/>
    </i>
    <i>
      <x v="60"/>
    </i>
    <i>
      <x v="63"/>
    </i>
    <i>
      <x v="64"/>
    </i>
    <i>
      <x v="66"/>
    </i>
    <i>
      <x v="71"/>
    </i>
    <i>
      <x v="78"/>
    </i>
    <i>
      <x v="79"/>
    </i>
    <i>
      <x v="85"/>
    </i>
    <i>
      <x v="86"/>
    </i>
    <i>
      <x v="90"/>
    </i>
    <i>
      <x v="91"/>
    </i>
    <i>
      <x v="92"/>
    </i>
    <i>
      <x v="94"/>
    </i>
    <i>
      <x v="99"/>
    </i>
    <i>
      <x v="104"/>
    </i>
    <i>
      <x v="105"/>
    </i>
    <i>
      <x v="106"/>
    </i>
    <i>
      <x v="107"/>
    </i>
    <i>
      <x v="108"/>
    </i>
    <i>
      <x v="110"/>
    </i>
    <i>
      <x v="118"/>
    </i>
    <i>
      <x v="123"/>
    </i>
    <i>
      <x v="131"/>
    </i>
    <i>
      <x v="137"/>
    </i>
    <i>
      <x v="139"/>
    </i>
    <i>
      <x v="143"/>
    </i>
    <i>
      <x v="145"/>
    </i>
    <i>
      <x v="146"/>
    </i>
    <i>
      <x v="148"/>
    </i>
    <i>
      <x v="149"/>
    </i>
    <i>
      <x v="153"/>
    </i>
    <i>
      <x v="156"/>
    </i>
    <i>
      <x v="157"/>
    </i>
    <i>
      <x v="163"/>
    </i>
    <i>
      <x v="169"/>
    </i>
    <i>
      <x v="170"/>
    </i>
    <i>
      <x v="173"/>
    </i>
    <i>
      <x v="174"/>
    </i>
    <i>
      <x v="176"/>
    </i>
    <i>
      <x v="178"/>
    </i>
    <i>
      <x v="180"/>
    </i>
    <i>
      <x v="181"/>
    </i>
    <i>
      <x v="184"/>
    </i>
    <i>
      <x v="185"/>
    </i>
    <i>
      <x v="189"/>
    </i>
    <i>
      <x v="190"/>
    </i>
    <i>
      <x v="191"/>
    </i>
    <i>
      <x v="192"/>
    </i>
    <i>
      <x v="196"/>
    </i>
    <i>
      <x v="197"/>
    </i>
    <i>
      <x v="199"/>
    </i>
  </rowItems>
  <colItems count="1">
    <i/>
  </colItems>
  <pageFields count="1">
    <pageField fld="6" item="1" hier="-1"/>
  </pageFields>
  <dataFields count="1">
    <dataField name=" Stock_Quantity" fld="4" subtotal="produc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7F709E-A203-4A56-A66C-5F1B5C716941}"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fieldListSortAscending="1">
  <location ref="A3:B13" firstHeaderRow="1" firstDataRow="1" firstDataCol="1"/>
  <pivotFields count="7">
    <pivotField showAll="0"/>
    <pivotField axis="axisRow" showAll="0" measureFilter="1">
      <items count="201">
        <item x="4"/>
        <item x="176"/>
        <item x="156"/>
        <item x="48"/>
        <item x="80"/>
        <item x="183"/>
        <item x="21"/>
        <item x="146"/>
        <item x="143"/>
        <item x="14"/>
        <item x="50"/>
        <item x="110"/>
        <item x="91"/>
        <item x="53"/>
        <item x="44"/>
        <item x="193"/>
        <item x="28"/>
        <item x="187"/>
        <item x="116"/>
        <item x="83"/>
        <item x="74"/>
        <item x="9"/>
        <item x="154"/>
        <item x="102"/>
        <item x="177"/>
        <item x="98"/>
        <item x="138"/>
        <item x="125"/>
        <item x="38"/>
        <item x="181"/>
        <item x="103"/>
        <item x="18"/>
        <item x="3"/>
        <item x="31"/>
        <item x="69"/>
        <item x="93"/>
        <item x="179"/>
        <item x="162"/>
        <item x="123"/>
        <item x="111"/>
        <item x="2"/>
        <item x="160"/>
        <item x="198"/>
        <item x="23"/>
        <item x="137"/>
        <item x="17"/>
        <item x="72"/>
        <item x="67"/>
        <item x="196"/>
        <item x="108"/>
        <item x="151"/>
        <item x="19"/>
        <item x="101"/>
        <item x="39"/>
        <item x="159"/>
        <item x="84"/>
        <item x="56"/>
        <item x="166"/>
        <item x="36"/>
        <item x="99"/>
        <item x="128"/>
        <item x="122"/>
        <item x="109"/>
        <item x="150"/>
        <item x="194"/>
        <item x="139"/>
        <item x="24"/>
        <item x="37"/>
        <item x="94"/>
        <item x="189"/>
        <item x="155"/>
        <item x="124"/>
        <item x="16"/>
        <item x="43"/>
        <item x="188"/>
        <item x="120"/>
        <item x="20"/>
        <item x="55"/>
        <item x="164"/>
        <item x="105"/>
        <item x="62"/>
        <item x="32"/>
        <item x="174"/>
        <item x="171"/>
        <item x="54"/>
        <item x="66"/>
        <item x="106"/>
        <item x="49"/>
        <item x="11"/>
        <item x="121"/>
        <item x="195"/>
        <item x="65"/>
        <item x="190"/>
        <item x="136"/>
        <item x="15"/>
        <item x="64"/>
        <item x="127"/>
        <item x="7"/>
        <item x="78"/>
        <item x="165"/>
        <item x="149"/>
        <item x="185"/>
        <item x="63"/>
        <item x="46"/>
        <item x="68"/>
        <item x="75"/>
        <item x="100"/>
        <item x="112"/>
        <item x="180"/>
        <item x="173"/>
        <item x="33"/>
        <item x="13"/>
        <item x="10"/>
        <item x="131"/>
        <item x="0"/>
        <item x="70"/>
        <item x="133"/>
        <item x="35"/>
        <item x="148"/>
        <item x="52"/>
        <item x="57"/>
        <item x="117"/>
        <item x="132"/>
        <item x="158"/>
        <item x="192"/>
        <item x="169"/>
        <item x="197"/>
        <item x="119"/>
        <item x="47"/>
        <item x="26"/>
        <item x="135"/>
        <item x="89"/>
        <item x="141"/>
        <item x="113"/>
        <item x="76"/>
        <item x="45"/>
        <item x="90"/>
        <item x="12"/>
        <item x="82"/>
        <item x="86"/>
        <item x="147"/>
        <item x="61"/>
        <item x="161"/>
        <item x="96"/>
        <item x="163"/>
        <item x="144"/>
        <item x="134"/>
        <item x="153"/>
        <item x="170"/>
        <item x="104"/>
        <item x="51"/>
        <item x="118"/>
        <item x="30"/>
        <item x="182"/>
        <item x="59"/>
        <item x="88"/>
        <item x="184"/>
        <item x="8"/>
        <item x="191"/>
        <item x="29"/>
        <item x="41"/>
        <item x="152"/>
        <item x="92"/>
        <item x="168"/>
        <item x="107"/>
        <item x="157"/>
        <item x="71"/>
        <item x="145"/>
        <item x="79"/>
        <item x="34"/>
        <item x="81"/>
        <item x="95"/>
        <item x="97"/>
        <item x="126"/>
        <item x="172"/>
        <item x="142"/>
        <item x="25"/>
        <item x="114"/>
        <item x="85"/>
        <item x="129"/>
        <item x="58"/>
        <item x="186"/>
        <item x="167"/>
        <item x="40"/>
        <item x="42"/>
        <item x="140"/>
        <item x="27"/>
        <item x="60"/>
        <item x="5"/>
        <item x="130"/>
        <item x="175"/>
        <item x="87"/>
        <item x="22"/>
        <item x="178"/>
        <item x="73"/>
        <item x="1"/>
        <item x="115"/>
        <item x="199"/>
        <item x="77"/>
        <item x="6"/>
        <item t="default"/>
      </items>
    </pivotField>
    <pivotField showAll="0">
      <items count="7">
        <item x="2"/>
        <item x="1"/>
        <item x="0"/>
        <item x="3"/>
        <item x="4"/>
        <item x="5"/>
        <item t="default"/>
      </items>
    </pivotField>
    <pivotField showAll="0"/>
    <pivotField showAll="0"/>
    <pivotField dataField="1" showAll="0" maxSubtotal="1"/>
    <pivotField showAll="0"/>
  </pivotFields>
  <rowFields count="1">
    <field x="1"/>
  </rowFields>
  <rowItems count="10">
    <i>
      <x/>
    </i>
    <i>
      <x v="21"/>
    </i>
    <i>
      <x v="40"/>
    </i>
    <i>
      <x v="65"/>
    </i>
    <i>
      <x v="81"/>
    </i>
    <i>
      <x v="106"/>
    </i>
    <i>
      <x v="152"/>
    </i>
    <i>
      <x v="155"/>
    </i>
    <i>
      <x v="194"/>
    </i>
    <i>
      <x v="195"/>
    </i>
  </rowItems>
  <colItems count="1">
    <i/>
  </colItems>
  <dataFields count="1">
    <dataField name="Sum of Stock Value" fld="5" baseField="1"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4751504-F873-433F-B850-1B8A9A5D109E}" sourceName="Category">
  <pivotTables>
    <pivotTable tabId="4" name="PivotTable1"/>
    <pivotTable tabId="8" name="PivotTable4"/>
    <pivotTable tabId="5" name="PivotTable2"/>
    <pivotTable tabId="6" name="PivotTable3"/>
    <pivotTable tabId="9" name="PivotTable5"/>
  </pivotTables>
  <data>
    <tabular pivotCacheId="1661488911">
      <items count="6">
        <i x="2" s="1"/>
        <i x="1" s="1"/>
        <i x="0"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Level" xr10:uid="{60478CA6-D957-4E39-AC29-2BC065B966D4}" sourceName="Stock Level">
  <pivotTables>
    <pivotTable tabId="6" name="PivotTable3"/>
  </pivotTables>
  <data>
    <tabular pivotCacheId="166148891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9359042-F138-407D-98BF-84497C85162F}" cache="Slicer_Category" caption="Category" rowHeight="360000"/>
  <slicer name="Stock Level" xr10:uid="{669C57DB-13C7-4DC6-B30A-2786F8689C22}" cache="Slicer_Stock_Level" caption="Stock Level"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3528E5-7330-42DF-AF4B-E646F1B05143}" name="Table1" displayName="Table1" ref="A1:G201" totalsRowShown="0" headerRowDxfId="8" dataDxfId="7">
  <autoFilter ref="A1:G201" xr:uid="{183528E5-7330-42DF-AF4B-E646F1B05143}"/>
  <tableColumns count="7">
    <tableColumn id="1" xr3:uid="{B7D55FC0-38B0-4967-ADA7-B2BBA670E1EE}" name="Product_Id" dataDxfId="6"/>
    <tableColumn id="2" xr3:uid="{4531F4FB-8891-4F8D-BEA8-706296274852}" name="Name" dataDxfId="5"/>
    <tableColumn id="3" xr3:uid="{B5F477BF-A521-4012-972B-67502F023AD8}" name="Category" dataDxfId="4"/>
    <tableColumn id="4" xr3:uid="{A9CEEEA6-2934-469C-B307-6635ECAC3D34}" name="Price" dataDxfId="3"/>
    <tableColumn id="5" xr3:uid="{FA592119-D2F3-435A-BE4F-6DB92D6842C5}" name="Stock_Quantity" dataDxfId="2"/>
    <tableColumn id="6" xr3:uid="{9DE165AD-FD19-498D-82F9-D16DDF9AE1EC}" name="Stock Value" dataDxfId="1">
      <calculatedColumnFormula>Table1[[#This Row],[Price]]*Table1[[#This Row],[Stock_Quantity]]</calculatedColumnFormula>
    </tableColumn>
    <tableColumn id="7" xr3:uid="{0D559BBC-E6AD-43BF-8CA2-7C86898B14D0}" name="Stock Level" dataDxfId="0">
      <calculatedColumnFormula>IF(Table1[[#This Row],[Stock_Quantity]]&lt;50,"Low",IF(Table1[[#This Row],[Stock_Quantity]]&lt;=150,"Medium","High"))</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E8DAA-4FEA-42F0-803C-61BC4714D12E}">
  <dimension ref="A1:E201"/>
  <sheetViews>
    <sheetView topLeftCell="A182" zoomScale="127" workbookViewId="0">
      <selection activeCell="H191" sqref="H191"/>
    </sheetView>
  </sheetViews>
  <sheetFormatPr defaultRowHeight="14.4" x14ac:dyDescent="0.3"/>
  <cols>
    <col min="1" max="1" width="10" style="2" bestFit="1" customWidth="1"/>
    <col min="2" max="2" width="24.5546875" style="1" bestFit="1" customWidth="1"/>
    <col min="3" max="3" width="13.88671875" style="1" bestFit="1" customWidth="1"/>
    <col min="4" max="4" width="6.109375" style="2" bestFit="1" customWidth="1"/>
    <col min="5" max="5" width="13.77734375" style="2" bestFit="1" customWidth="1"/>
  </cols>
  <sheetData>
    <row r="1" spans="1:5" x14ac:dyDescent="0.3">
      <c r="A1" s="3" t="str">
        <f>PROPER("product_id")</f>
        <v>Product_Id</v>
      </c>
      <c r="B1" s="3" t="str">
        <f>PROPER("name")</f>
        <v>Name</v>
      </c>
      <c r="C1" s="3" t="str">
        <f>PROPER("category")</f>
        <v>Category</v>
      </c>
      <c r="D1" s="3" t="str">
        <f>PROPER("price")</f>
        <v>Price</v>
      </c>
      <c r="E1" s="3" t="str">
        <f>PROPER("stock_quantity")</f>
        <v>Stock_Quantity</v>
      </c>
    </row>
    <row r="2" spans="1:5" x14ac:dyDescent="0.3">
      <c r="A2" s="4">
        <v>1</v>
      </c>
      <c r="B2" s="5" t="s">
        <v>0</v>
      </c>
      <c r="C2" s="5" t="s">
        <v>1</v>
      </c>
      <c r="D2" s="4">
        <v>0.99</v>
      </c>
      <c r="E2" s="4">
        <v>500</v>
      </c>
    </row>
    <row r="3" spans="1:5" x14ac:dyDescent="0.3">
      <c r="A3" s="4">
        <v>2</v>
      </c>
      <c r="B3" s="5" t="s">
        <v>2</v>
      </c>
      <c r="C3" s="5" t="s">
        <v>3</v>
      </c>
      <c r="D3" s="4">
        <v>25.5</v>
      </c>
      <c r="E3" s="4">
        <v>120</v>
      </c>
    </row>
    <row r="4" spans="1:5" x14ac:dyDescent="0.3">
      <c r="A4" s="4">
        <v>3</v>
      </c>
      <c r="B4" s="5" t="s">
        <v>4</v>
      </c>
      <c r="C4" s="5" t="s">
        <v>5</v>
      </c>
      <c r="D4" s="4">
        <v>15</v>
      </c>
      <c r="E4" s="4">
        <v>200</v>
      </c>
    </row>
    <row r="5" spans="1:5" x14ac:dyDescent="0.3">
      <c r="A5" s="4">
        <v>4</v>
      </c>
      <c r="B5" s="5" t="s">
        <v>6</v>
      </c>
      <c r="C5" s="5" t="s">
        <v>7</v>
      </c>
      <c r="D5" s="4">
        <v>8.99</v>
      </c>
      <c r="E5" s="4">
        <v>75</v>
      </c>
    </row>
    <row r="6" spans="1:5" x14ac:dyDescent="0.3">
      <c r="A6" s="4">
        <v>5</v>
      </c>
      <c r="B6" s="5" t="s">
        <v>8</v>
      </c>
      <c r="C6" s="5" t="s">
        <v>3</v>
      </c>
      <c r="D6" s="4">
        <v>12.49</v>
      </c>
      <c r="E6" s="4">
        <v>300</v>
      </c>
    </row>
    <row r="7" spans="1:5" x14ac:dyDescent="0.3">
      <c r="A7" s="4">
        <v>6</v>
      </c>
      <c r="B7" s="5" t="s">
        <v>9</v>
      </c>
      <c r="C7" s="5" t="s">
        <v>1</v>
      </c>
      <c r="D7" s="4">
        <v>1.8</v>
      </c>
      <c r="E7" s="4">
        <v>150</v>
      </c>
    </row>
    <row r="8" spans="1:5" x14ac:dyDescent="0.3">
      <c r="A8" s="4">
        <v>7</v>
      </c>
      <c r="B8" s="5" t="s">
        <v>10</v>
      </c>
      <c r="C8" s="5" t="s">
        <v>11</v>
      </c>
      <c r="D8" s="4">
        <v>29.99</v>
      </c>
      <c r="E8" s="4">
        <v>40</v>
      </c>
    </row>
    <row r="9" spans="1:5" x14ac:dyDescent="0.3">
      <c r="A9" s="4">
        <v>8</v>
      </c>
      <c r="B9" s="5" t="s">
        <v>12</v>
      </c>
      <c r="C9" s="5" t="s">
        <v>7</v>
      </c>
      <c r="D9" s="4">
        <v>34</v>
      </c>
      <c r="E9" s="4">
        <v>60</v>
      </c>
    </row>
    <row r="10" spans="1:5" x14ac:dyDescent="0.3">
      <c r="A10" s="4">
        <v>9</v>
      </c>
      <c r="B10" s="5" t="s">
        <v>13</v>
      </c>
      <c r="C10" s="5" t="s">
        <v>1</v>
      </c>
      <c r="D10" s="4">
        <v>4.5</v>
      </c>
      <c r="E10" s="4">
        <v>30</v>
      </c>
    </row>
    <row r="11" spans="1:5" x14ac:dyDescent="0.3">
      <c r="A11" s="4">
        <v>10</v>
      </c>
      <c r="B11" s="5" t="s">
        <v>14</v>
      </c>
      <c r="C11" s="5" t="s">
        <v>3</v>
      </c>
      <c r="D11" s="4">
        <v>89</v>
      </c>
      <c r="E11" s="4">
        <v>55</v>
      </c>
    </row>
    <row r="12" spans="1:5" x14ac:dyDescent="0.3">
      <c r="A12" s="4">
        <v>11</v>
      </c>
      <c r="B12" s="5" t="s">
        <v>15</v>
      </c>
      <c r="C12" s="5" t="s">
        <v>1</v>
      </c>
      <c r="D12" s="4">
        <v>12</v>
      </c>
      <c r="E12" s="4">
        <v>90</v>
      </c>
    </row>
    <row r="13" spans="1:5" x14ac:dyDescent="0.3">
      <c r="A13" s="4">
        <v>12</v>
      </c>
      <c r="B13" s="5" t="s">
        <v>16</v>
      </c>
      <c r="C13" s="5" t="s">
        <v>7</v>
      </c>
      <c r="D13" s="4">
        <v>5.5</v>
      </c>
      <c r="E13" s="4">
        <v>110</v>
      </c>
    </row>
    <row r="14" spans="1:5" x14ac:dyDescent="0.3">
      <c r="A14" s="4">
        <v>13</v>
      </c>
      <c r="B14" s="5" t="s">
        <v>17</v>
      </c>
      <c r="C14" s="5" t="s">
        <v>11</v>
      </c>
      <c r="D14" s="4">
        <v>75</v>
      </c>
      <c r="E14" s="4">
        <v>25</v>
      </c>
    </row>
    <row r="15" spans="1:5" x14ac:dyDescent="0.3">
      <c r="A15" s="4">
        <v>14</v>
      </c>
      <c r="B15" s="5" t="s">
        <v>18</v>
      </c>
      <c r="C15" s="5" t="s">
        <v>19</v>
      </c>
      <c r="D15" s="4">
        <v>3.99</v>
      </c>
      <c r="E15" s="4">
        <v>400</v>
      </c>
    </row>
    <row r="16" spans="1:5" x14ac:dyDescent="0.3">
      <c r="A16" s="4">
        <v>15</v>
      </c>
      <c r="B16" s="5" t="s">
        <v>20</v>
      </c>
      <c r="C16" s="5" t="s">
        <v>19</v>
      </c>
      <c r="D16" s="4">
        <v>0.5</v>
      </c>
      <c r="E16" s="4">
        <v>1000</v>
      </c>
    </row>
    <row r="17" spans="1:5" x14ac:dyDescent="0.3">
      <c r="A17" s="4">
        <v>16</v>
      </c>
      <c r="B17" s="5" t="s">
        <v>21</v>
      </c>
      <c r="C17" s="5" t="s">
        <v>3</v>
      </c>
      <c r="D17" s="4">
        <v>45</v>
      </c>
      <c r="E17" s="4">
        <v>15</v>
      </c>
    </row>
    <row r="18" spans="1:5" x14ac:dyDescent="0.3">
      <c r="A18" s="4">
        <v>17</v>
      </c>
      <c r="B18" s="5" t="s">
        <v>22</v>
      </c>
      <c r="C18" s="5" t="s">
        <v>1</v>
      </c>
      <c r="D18" s="4">
        <v>1.25</v>
      </c>
      <c r="E18" s="4">
        <v>80</v>
      </c>
    </row>
    <row r="19" spans="1:5" x14ac:dyDescent="0.3">
      <c r="A19" s="4">
        <v>18</v>
      </c>
      <c r="B19" s="5" t="s">
        <v>23</v>
      </c>
      <c r="C19" s="5" t="s">
        <v>5</v>
      </c>
      <c r="D19" s="4">
        <v>45.99</v>
      </c>
      <c r="E19" s="4">
        <v>65</v>
      </c>
    </row>
    <row r="20" spans="1:5" x14ac:dyDescent="0.3">
      <c r="A20" s="4">
        <v>19</v>
      </c>
      <c r="B20" s="5" t="s">
        <v>24</v>
      </c>
      <c r="C20" s="5" t="s">
        <v>7</v>
      </c>
      <c r="D20" s="4">
        <v>40</v>
      </c>
      <c r="E20" s="4">
        <v>20</v>
      </c>
    </row>
    <row r="21" spans="1:5" x14ac:dyDescent="0.3">
      <c r="A21" s="4">
        <v>20</v>
      </c>
      <c r="B21" s="5" t="s">
        <v>25</v>
      </c>
      <c r="C21" s="5" t="s">
        <v>11</v>
      </c>
      <c r="D21" s="4">
        <v>15</v>
      </c>
      <c r="E21" s="4">
        <v>50</v>
      </c>
    </row>
    <row r="22" spans="1:5" x14ac:dyDescent="0.3">
      <c r="A22" s="4">
        <v>21</v>
      </c>
      <c r="B22" s="5" t="s">
        <v>26</v>
      </c>
      <c r="C22" s="5" t="s">
        <v>3</v>
      </c>
      <c r="D22" s="4">
        <v>10.99</v>
      </c>
      <c r="E22" s="4">
        <v>150</v>
      </c>
    </row>
    <row r="23" spans="1:5" x14ac:dyDescent="0.3">
      <c r="A23" s="4">
        <v>22</v>
      </c>
      <c r="B23" s="5" t="s">
        <v>27</v>
      </c>
      <c r="C23" s="5" t="s">
        <v>1</v>
      </c>
      <c r="D23" s="4">
        <v>1.5</v>
      </c>
      <c r="E23" s="4">
        <v>120</v>
      </c>
    </row>
    <row r="24" spans="1:5" x14ac:dyDescent="0.3">
      <c r="A24" s="4">
        <v>23</v>
      </c>
      <c r="B24" s="5" t="s">
        <v>28</v>
      </c>
      <c r="C24" s="5" t="s">
        <v>5</v>
      </c>
      <c r="D24" s="4">
        <v>85</v>
      </c>
      <c r="E24" s="4">
        <v>30</v>
      </c>
    </row>
    <row r="25" spans="1:5" x14ac:dyDescent="0.3">
      <c r="A25" s="4">
        <v>24</v>
      </c>
      <c r="B25" s="5" t="s">
        <v>29</v>
      </c>
      <c r="C25" s="5" t="s">
        <v>7</v>
      </c>
      <c r="D25" s="4">
        <v>19.5</v>
      </c>
      <c r="E25" s="4">
        <v>45</v>
      </c>
    </row>
    <row r="26" spans="1:5" x14ac:dyDescent="0.3">
      <c r="A26" s="4">
        <v>25</v>
      </c>
      <c r="B26" s="5" t="s">
        <v>30</v>
      </c>
      <c r="C26" s="5" t="s">
        <v>19</v>
      </c>
      <c r="D26" s="4">
        <v>25</v>
      </c>
      <c r="E26" s="4">
        <v>15</v>
      </c>
    </row>
    <row r="27" spans="1:5" x14ac:dyDescent="0.3">
      <c r="A27" s="4">
        <v>26</v>
      </c>
      <c r="B27" s="5" t="s">
        <v>31</v>
      </c>
      <c r="C27" s="5" t="s">
        <v>3</v>
      </c>
      <c r="D27" s="4">
        <v>35</v>
      </c>
      <c r="E27" s="4">
        <v>40</v>
      </c>
    </row>
    <row r="28" spans="1:5" x14ac:dyDescent="0.3">
      <c r="A28" s="4">
        <v>27</v>
      </c>
      <c r="B28" s="5" t="s">
        <v>32</v>
      </c>
      <c r="C28" s="5" t="s">
        <v>11</v>
      </c>
      <c r="D28" s="4">
        <v>45</v>
      </c>
      <c r="E28" s="4">
        <v>60</v>
      </c>
    </row>
    <row r="29" spans="1:5" x14ac:dyDescent="0.3">
      <c r="A29" s="4">
        <v>28</v>
      </c>
      <c r="B29" s="5" t="s">
        <v>33</v>
      </c>
      <c r="C29" s="5" t="s">
        <v>1</v>
      </c>
      <c r="D29" s="4">
        <v>2.2000000000000002</v>
      </c>
      <c r="E29" s="4">
        <v>300</v>
      </c>
    </row>
    <row r="30" spans="1:5" x14ac:dyDescent="0.3">
      <c r="A30" s="4">
        <v>29</v>
      </c>
      <c r="B30" s="5" t="s">
        <v>34</v>
      </c>
      <c r="C30" s="5" t="s">
        <v>7</v>
      </c>
      <c r="D30" s="4">
        <v>55</v>
      </c>
      <c r="E30" s="4">
        <v>25</v>
      </c>
    </row>
    <row r="31" spans="1:5" x14ac:dyDescent="0.3">
      <c r="A31" s="4">
        <v>30</v>
      </c>
      <c r="B31" s="5" t="s">
        <v>35</v>
      </c>
      <c r="C31" s="5" t="s">
        <v>19</v>
      </c>
      <c r="D31" s="4">
        <v>6.5</v>
      </c>
      <c r="E31" s="4">
        <v>85</v>
      </c>
    </row>
    <row r="32" spans="1:5" x14ac:dyDescent="0.3">
      <c r="A32" s="4">
        <v>31</v>
      </c>
      <c r="B32" s="5" t="s">
        <v>36</v>
      </c>
      <c r="C32" s="5" t="s">
        <v>3</v>
      </c>
      <c r="D32" s="4">
        <v>14.99</v>
      </c>
      <c r="E32" s="4">
        <v>200</v>
      </c>
    </row>
    <row r="33" spans="1:5" x14ac:dyDescent="0.3">
      <c r="A33" s="4">
        <v>32</v>
      </c>
      <c r="B33" s="5" t="s">
        <v>37</v>
      </c>
      <c r="C33" s="5" t="s">
        <v>1</v>
      </c>
      <c r="D33" s="4">
        <v>5.4</v>
      </c>
      <c r="E33" s="4">
        <v>95</v>
      </c>
    </row>
    <row r="34" spans="1:5" x14ac:dyDescent="0.3">
      <c r="A34" s="4">
        <v>33</v>
      </c>
      <c r="B34" s="5" t="s">
        <v>38</v>
      </c>
      <c r="C34" s="5" t="s">
        <v>5</v>
      </c>
      <c r="D34" s="4">
        <v>35</v>
      </c>
      <c r="E34" s="4">
        <v>110</v>
      </c>
    </row>
    <row r="35" spans="1:5" x14ac:dyDescent="0.3">
      <c r="A35" s="4">
        <v>34</v>
      </c>
      <c r="B35" s="5" t="s">
        <v>39</v>
      </c>
      <c r="C35" s="5" t="s">
        <v>7</v>
      </c>
      <c r="D35" s="4">
        <v>28</v>
      </c>
      <c r="E35" s="4">
        <v>35</v>
      </c>
    </row>
    <row r="36" spans="1:5" x14ac:dyDescent="0.3">
      <c r="A36" s="4">
        <v>35</v>
      </c>
      <c r="B36" s="5" t="s">
        <v>40</v>
      </c>
      <c r="C36" s="5" t="s">
        <v>11</v>
      </c>
      <c r="D36" s="4">
        <v>120</v>
      </c>
      <c r="E36" s="4">
        <v>12</v>
      </c>
    </row>
    <row r="37" spans="1:5" x14ac:dyDescent="0.3">
      <c r="A37" s="4">
        <v>36</v>
      </c>
      <c r="B37" s="5" t="s">
        <v>41</v>
      </c>
      <c r="C37" s="5" t="s">
        <v>19</v>
      </c>
      <c r="D37" s="4">
        <v>1.2</v>
      </c>
      <c r="E37" s="4">
        <v>500</v>
      </c>
    </row>
    <row r="38" spans="1:5" x14ac:dyDescent="0.3">
      <c r="A38" s="4">
        <v>37</v>
      </c>
      <c r="B38" s="5" t="s">
        <v>42</v>
      </c>
      <c r="C38" s="5" t="s">
        <v>3</v>
      </c>
      <c r="D38" s="4">
        <v>59.99</v>
      </c>
      <c r="E38" s="4">
        <v>45</v>
      </c>
    </row>
    <row r="39" spans="1:5" x14ac:dyDescent="0.3">
      <c r="A39" s="4">
        <v>38</v>
      </c>
      <c r="B39" s="5" t="s">
        <v>43</v>
      </c>
      <c r="C39" s="5" t="s">
        <v>1</v>
      </c>
      <c r="D39" s="4">
        <v>6.99</v>
      </c>
      <c r="E39" s="4">
        <v>60</v>
      </c>
    </row>
    <row r="40" spans="1:5" x14ac:dyDescent="0.3">
      <c r="A40" s="4">
        <v>39</v>
      </c>
      <c r="B40" s="5" t="s">
        <v>44</v>
      </c>
      <c r="C40" s="5" t="s">
        <v>5</v>
      </c>
      <c r="D40" s="4">
        <v>42</v>
      </c>
      <c r="E40" s="4">
        <v>50</v>
      </c>
    </row>
    <row r="41" spans="1:5" x14ac:dyDescent="0.3">
      <c r="A41" s="4">
        <v>40</v>
      </c>
      <c r="B41" s="5" t="s">
        <v>45</v>
      </c>
      <c r="C41" s="5" t="s">
        <v>7</v>
      </c>
      <c r="D41" s="4">
        <v>24.99</v>
      </c>
      <c r="E41" s="4">
        <v>40</v>
      </c>
    </row>
    <row r="42" spans="1:5" x14ac:dyDescent="0.3">
      <c r="A42" s="4">
        <v>41</v>
      </c>
      <c r="B42" s="5" t="s">
        <v>46</v>
      </c>
      <c r="C42" s="5" t="s">
        <v>11</v>
      </c>
      <c r="D42" s="4">
        <v>22</v>
      </c>
      <c r="E42" s="4">
        <v>90</v>
      </c>
    </row>
    <row r="43" spans="1:5" x14ac:dyDescent="0.3">
      <c r="A43" s="4">
        <v>42</v>
      </c>
      <c r="B43" s="5" t="s">
        <v>47</v>
      </c>
      <c r="C43" s="5" t="s">
        <v>19</v>
      </c>
      <c r="D43" s="4">
        <v>2.5</v>
      </c>
      <c r="E43" s="4">
        <v>300</v>
      </c>
    </row>
    <row r="44" spans="1:5" x14ac:dyDescent="0.3">
      <c r="A44" s="4">
        <v>43</v>
      </c>
      <c r="B44" s="5" t="s">
        <v>48</v>
      </c>
      <c r="C44" s="5" t="s">
        <v>3</v>
      </c>
      <c r="D44" s="4">
        <v>49</v>
      </c>
      <c r="E44" s="4">
        <v>25</v>
      </c>
    </row>
    <row r="45" spans="1:5" x14ac:dyDescent="0.3">
      <c r="A45" s="4">
        <v>44</v>
      </c>
      <c r="B45" s="5" t="s">
        <v>49</v>
      </c>
      <c r="C45" s="5" t="s">
        <v>1</v>
      </c>
      <c r="D45" s="4">
        <v>8.5</v>
      </c>
      <c r="E45" s="4">
        <v>140</v>
      </c>
    </row>
    <row r="46" spans="1:5" x14ac:dyDescent="0.3">
      <c r="A46" s="4">
        <v>45</v>
      </c>
      <c r="B46" s="5" t="s">
        <v>50</v>
      </c>
      <c r="C46" s="5" t="s">
        <v>7</v>
      </c>
      <c r="D46" s="4">
        <v>12</v>
      </c>
      <c r="E46" s="4">
        <v>150</v>
      </c>
    </row>
    <row r="47" spans="1:5" x14ac:dyDescent="0.3">
      <c r="A47" s="4">
        <v>46</v>
      </c>
      <c r="B47" s="5" t="s">
        <v>51</v>
      </c>
      <c r="C47" s="5" t="s">
        <v>11</v>
      </c>
      <c r="D47" s="4">
        <v>18</v>
      </c>
      <c r="E47" s="4">
        <v>70</v>
      </c>
    </row>
    <row r="48" spans="1:5" x14ac:dyDescent="0.3">
      <c r="A48" s="4">
        <v>47</v>
      </c>
      <c r="B48" s="5" t="s">
        <v>52</v>
      </c>
      <c r="C48" s="5" t="s">
        <v>19</v>
      </c>
      <c r="D48" s="4">
        <v>3</v>
      </c>
      <c r="E48" s="4">
        <v>250</v>
      </c>
    </row>
    <row r="49" spans="1:5" x14ac:dyDescent="0.3">
      <c r="A49" s="4">
        <v>48</v>
      </c>
      <c r="B49" s="5" t="s">
        <v>53</v>
      </c>
      <c r="C49" s="5" t="s">
        <v>3</v>
      </c>
      <c r="D49" s="4">
        <v>29</v>
      </c>
      <c r="E49" s="4">
        <v>80</v>
      </c>
    </row>
    <row r="50" spans="1:5" x14ac:dyDescent="0.3">
      <c r="A50" s="4">
        <v>49</v>
      </c>
      <c r="B50" s="5" t="s">
        <v>54</v>
      </c>
      <c r="C50" s="5" t="s">
        <v>1</v>
      </c>
      <c r="D50" s="4">
        <v>3.2</v>
      </c>
      <c r="E50" s="4">
        <v>110</v>
      </c>
    </row>
    <row r="51" spans="1:5" x14ac:dyDescent="0.3">
      <c r="A51" s="4">
        <v>50</v>
      </c>
      <c r="B51" s="5" t="s">
        <v>55</v>
      </c>
      <c r="C51" s="5" t="s">
        <v>7</v>
      </c>
      <c r="D51" s="4">
        <v>7.99</v>
      </c>
      <c r="E51" s="4">
        <v>65</v>
      </c>
    </row>
    <row r="52" spans="1:5" x14ac:dyDescent="0.3">
      <c r="A52" s="4">
        <v>51</v>
      </c>
      <c r="B52" s="5" t="s">
        <v>56</v>
      </c>
      <c r="C52" s="5" t="s">
        <v>5</v>
      </c>
      <c r="D52" s="4">
        <v>19</v>
      </c>
      <c r="E52" s="4">
        <v>120</v>
      </c>
    </row>
    <row r="53" spans="1:5" x14ac:dyDescent="0.3">
      <c r="A53" s="4">
        <v>52</v>
      </c>
      <c r="B53" s="5" t="s">
        <v>57</v>
      </c>
      <c r="C53" s="5" t="s">
        <v>3</v>
      </c>
      <c r="D53" s="4">
        <v>15.99</v>
      </c>
      <c r="E53" s="4">
        <v>100</v>
      </c>
    </row>
    <row r="54" spans="1:5" x14ac:dyDescent="0.3">
      <c r="A54" s="4">
        <v>53</v>
      </c>
      <c r="B54" s="5" t="s">
        <v>58</v>
      </c>
      <c r="C54" s="5" t="s">
        <v>1</v>
      </c>
      <c r="D54" s="4">
        <v>1.1000000000000001</v>
      </c>
      <c r="E54" s="4">
        <v>400</v>
      </c>
    </row>
    <row r="55" spans="1:5" x14ac:dyDescent="0.3">
      <c r="A55" s="4">
        <v>54</v>
      </c>
      <c r="B55" s="5" t="s">
        <v>59</v>
      </c>
      <c r="C55" s="5" t="s">
        <v>7</v>
      </c>
      <c r="D55" s="4">
        <v>14.5</v>
      </c>
      <c r="E55" s="4">
        <v>40</v>
      </c>
    </row>
    <row r="56" spans="1:5" x14ac:dyDescent="0.3">
      <c r="A56" s="4">
        <v>55</v>
      </c>
      <c r="B56" s="5" t="s">
        <v>60</v>
      </c>
      <c r="C56" s="5" t="s">
        <v>11</v>
      </c>
      <c r="D56" s="4">
        <v>10</v>
      </c>
      <c r="E56" s="4">
        <v>150</v>
      </c>
    </row>
    <row r="57" spans="1:5" x14ac:dyDescent="0.3">
      <c r="A57" s="4">
        <v>56</v>
      </c>
      <c r="B57" s="5" t="s">
        <v>61</v>
      </c>
      <c r="C57" s="5" t="s">
        <v>19</v>
      </c>
      <c r="D57" s="4">
        <v>4.5</v>
      </c>
      <c r="E57" s="4">
        <v>180</v>
      </c>
    </row>
    <row r="58" spans="1:5" x14ac:dyDescent="0.3">
      <c r="A58" s="4">
        <v>57</v>
      </c>
      <c r="B58" s="5" t="s">
        <v>62</v>
      </c>
      <c r="C58" s="5" t="s">
        <v>3</v>
      </c>
      <c r="D58" s="4">
        <v>8.5</v>
      </c>
      <c r="E58" s="4">
        <v>90</v>
      </c>
    </row>
    <row r="59" spans="1:5" x14ac:dyDescent="0.3">
      <c r="A59" s="4">
        <v>58</v>
      </c>
      <c r="B59" s="5" t="s">
        <v>63</v>
      </c>
      <c r="C59" s="5" t="s">
        <v>1</v>
      </c>
      <c r="D59" s="4">
        <v>4</v>
      </c>
      <c r="E59" s="4">
        <v>130</v>
      </c>
    </row>
    <row r="60" spans="1:5" x14ac:dyDescent="0.3">
      <c r="A60" s="4">
        <v>59</v>
      </c>
      <c r="B60" s="5" t="s">
        <v>64</v>
      </c>
      <c r="C60" s="5" t="s">
        <v>7</v>
      </c>
      <c r="D60" s="4">
        <v>22</v>
      </c>
      <c r="E60" s="4">
        <v>25</v>
      </c>
    </row>
    <row r="61" spans="1:5" x14ac:dyDescent="0.3">
      <c r="A61" s="4">
        <v>60</v>
      </c>
      <c r="B61" s="5" t="s">
        <v>65</v>
      </c>
      <c r="C61" s="5" t="s">
        <v>11</v>
      </c>
      <c r="D61" s="4">
        <v>25</v>
      </c>
      <c r="E61" s="4">
        <v>55</v>
      </c>
    </row>
    <row r="62" spans="1:5" x14ac:dyDescent="0.3">
      <c r="A62" s="4">
        <v>61</v>
      </c>
      <c r="B62" s="5" t="s">
        <v>66</v>
      </c>
      <c r="C62" s="5" t="s">
        <v>19</v>
      </c>
      <c r="D62" s="4">
        <v>5.5</v>
      </c>
      <c r="E62" s="4">
        <v>140</v>
      </c>
    </row>
    <row r="63" spans="1:5" x14ac:dyDescent="0.3">
      <c r="A63" s="4">
        <v>62</v>
      </c>
      <c r="B63" s="5" t="s">
        <v>67</v>
      </c>
      <c r="C63" s="5" t="s">
        <v>3</v>
      </c>
      <c r="D63" s="4">
        <v>18</v>
      </c>
      <c r="E63" s="4">
        <v>110</v>
      </c>
    </row>
    <row r="64" spans="1:5" x14ac:dyDescent="0.3">
      <c r="A64" s="4">
        <v>63</v>
      </c>
      <c r="B64" s="5" t="s">
        <v>68</v>
      </c>
      <c r="C64" s="5" t="s">
        <v>1</v>
      </c>
      <c r="D64" s="4">
        <v>9</v>
      </c>
      <c r="E64" s="4">
        <v>75</v>
      </c>
    </row>
    <row r="65" spans="1:5" x14ac:dyDescent="0.3">
      <c r="A65" s="4">
        <v>64</v>
      </c>
      <c r="B65" s="5" t="s">
        <v>69</v>
      </c>
      <c r="C65" s="5" t="s">
        <v>7</v>
      </c>
      <c r="D65" s="4">
        <v>12.5</v>
      </c>
      <c r="E65" s="4">
        <v>50</v>
      </c>
    </row>
    <row r="66" spans="1:5" x14ac:dyDescent="0.3">
      <c r="A66" s="4">
        <v>65</v>
      </c>
      <c r="B66" s="5" t="s">
        <v>70</v>
      </c>
      <c r="C66" s="5" t="s">
        <v>5</v>
      </c>
      <c r="D66" s="4">
        <v>30</v>
      </c>
      <c r="E66" s="4">
        <v>80</v>
      </c>
    </row>
    <row r="67" spans="1:5" x14ac:dyDescent="0.3">
      <c r="A67" s="4">
        <v>66</v>
      </c>
      <c r="B67" s="5" t="s">
        <v>71</v>
      </c>
      <c r="C67" s="5" t="s">
        <v>5</v>
      </c>
      <c r="D67" s="4">
        <v>55</v>
      </c>
      <c r="E67" s="4">
        <v>45</v>
      </c>
    </row>
    <row r="68" spans="1:5" x14ac:dyDescent="0.3">
      <c r="A68" s="4">
        <v>67</v>
      </c>
      <c r="B68" s="5" t="s">
        <v>72</v>
      </c>
      <c r="C68" s="5" t="s">
        <v>11</v>
      </c>
      <c r="D68" s="4">
        <v>35</v>
      </c>
      <c r="E68" s="4">
        <v>30</v>
      </c>
    </row>
    <row r="69" spans="1:5" x14ac:dyDescent="0.3">
      <c r="A69" s="4">
        <v>68</v>
      </c>
      <c r="B69" s="5" t="s">
        <v>73</v>
      </c>
      <c r="C69" s="5" t="s">
        <v>19</v>
      </c>
      <c r="D69" s="4">
        <v>12</v>
      </c>
      <c r="E69" s="4">
        <v>60</v>
      </c>
    </row>
    <row r="70" spans="1:5" x14ac:dyDescent="0.3">
      <c r="A70" s="4">
        <v>69</v>
      </c>
      <c r="B70" s="5" t="s">
        <v>74</v>
      </c>
      <c r="C70" s="5" t="s">
        <v>3</v>
      </c>
      <c r="D70" s="4">
        <v>65</v>
      </c>
      <c r="E70" s="4">
        <v>20</v>
      </c>
    </row>
    <row r="71" spans="1:5" x14ac:dyDescent="0.3">
      <c r="A71" s="4">
        <v>70</v>
      </c>
      <c r="B71" s="5" t="s">
        <v>75</v>
      </c>
      <c r="C71" s="5" t="s">
        <v>1</v>
      </c>
      <c r="D71" s="4">
        <v>11</v>
      </c>
      <c r="E71" s="4">
        <v>40</v>
      </c>
    </row>
    <row r="72" spans="1:5" x14ac:dyDescent="0.3">
      <c r="A72" s="4">
        <v>71</v>
      </c>
      <c r="B72" s="5" t="s">
        <v>76</v>
      </c>
      <c r="C72" s="5" t="s">
        <v>7</v>
      </c>
      <c r="D72" s="4">
        <v>9</v>
      </c>
      <c r="E72" s="4">
        <v>100</v>
      </c>
    </row>
    <row r="73" spans="1:5" x14ac:dyDescent="0.3">
      <c r="A73" s="4">
        <v>72</v>
      </c>
      <c r="B73" s="5" t="s">
        <v>77</v>
      </c>
      <c r="C73" s="5" t="s">
        <v>11</v>
      </c>
      <c r="D73" s="4">
        <v>15</v>
      </c>
      <c r="E73" s="4">
        <v>85</v>
      </c>
    </row>
    <row r="74" spans="1:5" x14ac:dyDescent="0.3">
      <c r="A74" s="4">
        <v>73</v>
      </c>
      <c r="B74" s="5" t="s">
        <v>78</v>
      </c>
      <c r="C74" s="5" t="s">
        <v>19</v>
      </c>
      <c r="D74" s="4">
        <v>18</v>
      </c>
      <c r="E74" s="4">
        <v>50</v>
      </c>
    </row>
    <row r="75" spans="1:5" x14ac:dyDescent="0.3">
      <c r="A75" s="4">
        <v>74</v>
      </c>
      <c r="B75" s="5" t="s">
        <v>79</v>
      </c>
      <c r="C75" s="5" t="s">
        <v>3</v>
      </c>
      <c r="D75" s="4">
        <v>45</v>
      </c>
      <c r="E75" s="4">
        <v>120</v>
      </c>
    </row>
    <row r="76" spans="1:5" x14ac:dyDescent="0.3">
      <c r="A76" s="4">
        <v>75</v>
      </c>
      <c r="B76" s="5" t="s">
        <v>80</v>
      </c>
      <c r="C76" s="5" t="s">
        <v>1</v>
      </c>
      <c r="D76" s="4">
        <v>3.5</v>
      </c>
      <c r="E76" s="4">
        <v>200</v>
      </c>
    </row>
    <row r="77" spans="1:5" x14ac:dyDescent="0.3">
      <c r="A77" s="4">
        <v>76</v>
      </c>
      <c r="B77" s="5" t="s">
        <v>81</v>
      </c>
      <c r="C77" s="5" t="s">
        <v>7</v>
      </c>
      <c r="D77" s="4">
        <v>24</v>
      </c>
      <c r="E77" s="4">
        <v>35</v>
      </c>
    </row>
    <row r="78" spans="1:5" x14ac:dyDescent="0.3">
      <c r="A78" s="4">
        <v>77</v>
      </c>
      <c r="B78" s="5" t="s">
        <v>82</v>
      </c>
      <c r="C78" s="5" t="s">
        <v>5</v>
      </c>
      <c r="D78" s="4">
        <v>15</v>
      </c>
      <c r="E78" s="4">
        <v>70</v>
      </c>
    </row>
    <row r="79" spans="1:5" x14ac:dyDescent="0.3">
      <c r="A79" s="4">
        <v>78</v>
      </c>
      <c r="B79" s="5" t="s">
        <v>83</v>
      </c>
      <c r="C79" s="5" t="s">
        <v>11</v>
      </c>
      <c r="D79" s="4">
        <v>8</v>
      </c>
      <c r="E79" s="4">
        <v>110</v>
      </c>
    </row>
    <row r="80" spans="1:5" x14ac:dyDescent="0.3">
      <c r="A80" s="4">
        <v>79</v>
      </c>
      <c r="B80" s="5" t="s">
        <v>84</v>
      </c>
      <c r="C80" s="5" t="s">
        <v>19</v>
      </c>
      <c r="D80" s="4">
        <v>4</v>
      </c>
      <c r="E80" s="4">
        <v>220</v>
      </c>
    </row>
    <row r="81" spans="1:5" x14ac:dyDescent="0.3">
      <c r="A81" s="4">
        <v>80</v>
      </c>
      <c r="B81" s="5" t="s">
        <v>85</v>
      </c>
      <c r="C81" s="5" t="s">
        <v>3</v>
      </c>
      <c r="D81" s="4">
        <v>19.989999999999998</v>
      </c>
      <c r="E81" s="4">
        <v>60</v>
      </c>
    </row>
    <row r="82" spans="1:5" x14ac:dyDescent="0.3">
      <c r="A82" s="4">
        <v>81</v>
      </c>
      <c r="B82" s="5" t="s">
        <v>86</v>
      </c>
      <c r="C82" s="5" t="s">
        <v>1</v>
      </c>
      <c r="D82" s="4">
        <v>2.5</v>
      </c>
      <c r="E82" s="4">
        <v>180</v>
      </c>
    </row>
    <row r="83" spans="1:5" x14ac:dyDescent="0.3">
      <c r="A83" s="4">
        <v>82</v>
      </c>
      <c r="B83" s="5" t="s">
        <v>87</v>
      </c>
      <c r="C83" s="5" t="s">
        <v>7</v>
      </c>
      <c r="D83" s="4">
        <v>32</v>
      </c>
      <c r="E83" s="4">
        <v>30</v>
      </c>
    </row>
    <row r="84" spans="1:5" x14ac:dyDescent="0.3">
      <c r="A84" s="4">
        <v>83</v>
      </c>
      <c r="B84" s="5" t="s">
        <v>88</v>
      </c>
      <c r="C84" s="5" t="s">
        <v>5</v>
      </c>
      <c r="D84" s="4">
        <v>22</v>
      </c>
      <c r="E84" s="4">
        <v>95</v>
      </c>
    </row>
    <row r="85" spans="1:5" x14ac:dyDescent="0.3">
      <c r="A85" s="4">
        <v>84</v>
      </c>
      <c r="B85" s="5" t="s">
        <v>89</v>
      </c>
      <c r="C85" s="5" t="s">
        <v>11</v>
      </c>
      <c r="D85" s="4">
        <v>45</v>
      </c>
      <c r="E85" s="4">
        <v>25</v>
      </c>
    </row>
    <row r="86" spans="1:5" x14ac:dyDescent="0.3">
      <c r="A86" s="4">
        <v>85</v>
      </c>
      <c r="B86" s="5" t="s">
        <v>90</v>
      </c>
      <c r="C86" s="5" t="s">
        <v>19</v>
      </c>
      <c r="D86" s="4">
        <v>1.5</v>
      </c>
      <c r="E86" s="4">
        <v>400</v>
      </c>
    </row>
    <row r="87" spans="1:5" x14ac:dyDescent="0.3">
      <c r="A87" s="4">
        <v>86</v>
      </c>
      <c r="B87" s="5" t="s">
        <v>91</v>
      </c>
      <c r="C87" s="5" t="s">
        <v>3</v>
      </c>
      <c r="D87" s="4">
        <v>12</v>
      </c>
      <c r="E87" s="4">
        <v>40</v>
      </c>
    </row>
    <row r="88" spans="1:5" x14ac:dyDescent="0.3">
      <c r="A88" s="4">
        <v>87</v>
      </c>
      <c r="B88" s="5" t="s">
        <v>92</v>
      </c>
      <c r="C88" s="5" t="s">
        <v>1</v>
      </c>
      <c r="D88" s="4">
        <v>18</v>
      </c>
      <c r="E88" s="4">
        <v>25</v>
      </c>
    </row>
    <row r="89" spans="1:5" x14ac:dyDescent="0.3">
      <c r="A89" s="4">
        <v>88</v>
      </c>
      <c r="B89" s="5" t="s">
        <v>93</v>
      </c>
      <c r="C89" s="5" t="s">
        <v>7</v>
      </c>
      <c r="D89" s="4">
        <v>28</v>
      </c>
      <c r="E89" s="4">
        <v>20</v>
      </c>
    </row>
    <row r="90" spans="1:5" x14ac:dyDescent="0.3">
      <c r="A90" s="4">
        <v>89</v>
      </c>
      <c r="B90" s="5" t="s">
        <v>94</v>
      </c>
      <c r="C90" s="5" t="s">
        <v>5</v>
      </c>
      <c r="D90" s="4">
        <v>12</v>
      </c>
      <c r="E90" s="4">
        <v>300</v>
      </c>
    </row>
    <row r="91" spans="1:5" x14ac:dyDescent="0.3">
      <c r="A91" s="4">
        <v>90</v>
      </c>
      <c r="B91" s="5" t="s">
        <v>95</v>
      </c>
      <c r="C91" s="5" t="s">
        <v>11</v>
      </c>
      <c r="D91" s="4">
        <v>150</v>
      </c>
      <c r="E91" s="4">
        <v>10</v>
      </c>
    </row>
    <row r="92" spans="1:5" x14ac:dyDescent="0.3">
      <c r="A92" s="4">
        <v>91</v>
      </c>
      <c r="B92" s="5" t="s">
        <v>96</v>
      </c>
      <c r="C92" s="5" t="s">
        <v>3</v>
      </c>
      <c r="D92" s="4">
        <v>35</v>
      </c>
      <c r="E92" s="4">
        <v>55</v>
      </c>
    </row>
    <row r="93" spans="1:5" x14ac:dyDescent="0.3">
      <c r="A93" s="4">
        <v>92</v>
      </c>
      <c r="B93" s="5" t="s">
        <v>97</v>
      </c>
      <c r="C93" s="5" t="s">
        <v>1</v>
      </c>
      <c r="D93" s="4">
        <v>4.5</v>
      </c>
      <c r="E93" s="4">
        <v>150</v>
      </c>
    </row>
    <row r="94" spans="1:5" x14ac:dyDescent="0.3">
      <c r="A94" s="4">
        <v>93</v>
      </c>
      <c r="B94" s="5" t="s">
        <v>98</v>
      </c>
      <c r="C94" s="5" t="s">
        <v>7</v>
      </c>
      <c r="D94" s="4">
        <v>15</v>
      </c>
      <c r="E94" s="4">
        <v>80</v>
      </c>
    </row>
    <row r="95" spans="1:5" x14ac:dyDescent="0.3">
      <c r="A95" s="4">
        <v>94</v>
      </c>
      <c r="B95" s="5" t="s">
        <v>99</v>
      </c>
      <c r="C95" s="5" t="s">
        <v>19</v>
      </c>
      <c r="D95" s="4">
        <v>3.5</v>
      </c>
      <c r="E95" s="4">
        <v>120</v>
      </c>
    </row>
    <row r="96" spans="1:5" x14ac:dyDescent="0.3">
      <c r="A96" s="4">
        <v>95</v>
      </c>
      <c r="B96" s="5" t="s">
        <v>100</v>
      </c>
      <c r="C96" s="5" t="s">
        <v>3</v>
      </c>
      <c r="D96" s="4">
        <v>15</v>
      </c>
      <c r="E96" s="4">
        <v>140</v>
      </c>
    </row>
    <row r="97" spans="1:5" x14ac:dyDescent="0.3">
      <c r="A97" s="4">
        <v>96</v>
      </c>
      <c r="B97" s="5" t="s">
        <v>101</v>
      </c>
      <c r="C97" s="5" t="s">
        <v>1</v>
      </c>
      <c r="D97" s="4">
        <v>1.8</v>
      </c>
      <c r="E97" s="4">
        <v>250</v>
      </c>
    </row>
    <row r="98" spans="1:5" x14ac:dyDescent="0.3">
      <c r="A98" s="4">
        <v>97</v>
      </c>
      <c r="B98" s="5" t="s">
        <v>102</v>
      </c>
      <c r="C98" s="5" t="s">
        <v>7</v>
      </c>
      <c r="D98" s="4">
        <v>20</v>
      </c>
      <c r="E98" s="4">
        <v>45</v>
      </c>
    </row>
    <row r="99" spans="1:5" x14ac:dyDescent="0.3">
      <c r="A99" s="4">
        <v>98</v>
      </c>
      <c r="B99" s="5" t="s">
        <v>103</v>
      </c>
      <c r="C99" s="5" t="s">
        <v>5</v>
      </c>
      <c r="D99" s="4">
        <v>40</v>
      </c>
      <c r="E99" s="4">
        <v>60</v>
      </c>
    </row>
    <row r="100" spans="1:5" x14ac:dyDescent="0.3">
      <c r="A100" s="4">
        <v>99</v>
      </c>
      <c r="B100" s="5" t="s">
        <v>104</v>
      </c>
      <c r="C100" s="5" t="s">
        <v>11</v>
      </c>
      <c r="D100" s="4">
        <v>85</v>
      </c>
      <c r="E100" s="4">
        <v>15</v>
      </c>
    </row>
    <row r="101" spans="1:5" x14ac:dyDescent="0.3">
      <c r="A101" s="4">
        <v>100</v>
      </c>
      <c r="B101" s="5" t="s">
        <v>105</v>
      </c>
      <c r="C101" s="5" t="s">
        <v>19</v>
      </c>
      <c r="D101" s="4">
        <v>120</v>
      </c>
      <c r="E101" s="4">
        <v>8</v>
      </c>
    </row>
    <row r="102" spans="1:5" x14ac:dyDescent="0.3">
      <c r="A102" s="4">
        <v>101</v>
      </c>
      <c r="B102" s="5" t="s">
        <v>106</v>
      </c>
      <c r="C102" s="5" t="s">
        <v>3</v>
      </c>
      <c r="D102" s="4">
        <v>149</v>
      </c>
      <c r="E102" s="4">
        <v>30</v>
      </c>
    </row>
    <row r="103" spans="1:5" x14ac:dyDescent="0.3">
      <c r="A103" s="4">
        <v>102</v>
      </c>
      <c r="B103" s="5" t="s">
        <v>107</v>
      </c>
      <c r="C103" s="5" t="s">
        <v>1</v>
      </c>
      <c r="D103" s="4">
        <v>3.5</v>
      </c>
      <c r="E103" s="4">
        <v>200</v>
      </c>
    </row>
    <row r="104" spans="1:5" x14ac:dyDescent="0.3">
      <c r="A104" s="4">
        <v>103</v>
      </c>
      <c r="B104" s="5" t="s">
        <v>108</v>
      </c>
      <c r="C104" s="5" t="s">
        <v>7</v>
      </c>
      <c r="D104" s="4">
        <v>15.99</v>
      </c>
      <c r="E104" s="4">
        <v>60</v>
      </c>
    </row>
    <row r="105" spans="1:5" x14ac:dyDescent="0.3">
      <c r="A105" s="4">
        <v>104</v>
      </c>
      <c r="B105" s="5" t="s">
        <v>109</v>
      </c>
      <c r="C105" s="5" t="s">
        <v>5</v>
      </c>
      <c r="D105" s="4">
        <v>38</v>
      </c>
      <c r="E105" s="4">
        <v>75</v>
      </c>
    </row>
    <row r="106" spans="1:5" x14ac:dyDescent="0.3">
      <c r="A106" s="4">
        <v>105</v>
      </c>
      <c r="B106" s="5" t="s">
        <v>110</v>
      </c>
      <c r="C106" s="5" t="s">
        <v>11</v>
      </c>
      <c r="D106" s="4">
        <v>50</v>
      </c>
      <c r="E106" s="4">
        <v>20</v>
      </c>
    </row>
    <row r="107" spans="1:5" x14ac:dyDescent="0.3">
      <c r="A107" s="4">
        <v>106</v>
      </c>
      <c r="B107" s="5" t="s">
        <v>111</v>
      </c>
      <c r="C107" s="5" t="s">
        <v>19</v>
      </c>
      <c r="D107" s="4">
        <v>8</v>
      </c>
      <c r="E107" s="4">
        <v>45</v>
      </c>
    </row>
    <row r="108" spans="1:5" x14ac:dyDescent="0.3">
      <c r="A108" s="4">
        <v>107</v>
      </c>
      <c r="B108" s="5" t="s">
        <v>112</v>
      </c>
      <c r="C108" s="5" t="s">
        <v>3</v>
      </c>
      <c r="D108" s="4">
        <v>99</v>
      </c>
      <c r="E108" s="4">
        <v>25</v>
      </c>
    </row>
    <row r="109" spans="1:5" x14ac:dyDescent="0.3">
      <c r="A109" s="4">
        <v>108</v>
      </c>
      <c r="B109" s="5" t="s">
        <v>113</v>
      </c>
      <c r="C109" s="5" t="s">
        <v>1</v>
      </c>
      <c r="D109" s="4">
        <v>3.8</v>
      </c>
      <c r="E109" s="4">
        <v>90</v>
      </c>
    </row>
    <row r="110" spans="1:5" x14ac:dyDescent="0.3">
      <c r="A110" s="4">
        <v>109</v>
      </c>
      <c r="B110" s="5" t="s">
        <v>114</v>
      </c>
      <c r="C110" s="5" t="s">
        <v>7</v>
      </c>
      <c r="D110" s="4">
        <v>22</v>
      </c>
      <c r="E110" s="4">
        <v>40</v>
      </c>
    </row>
    <row r="111" spans="1:5" x14ac:dyDescent="0.3">
      <c r="A111" s="4">
        <v>110</v>
      </c>
      <c r="B111" s="5" t="s">
        <v>115</v>
      </c>
      <c r="C111" s="5" t="s">
        <v>7</v>
      </c>
      <c r="D111" s="4">
        <v>18</v>
      </c>
      <c r="E111" s="4">
        <v>100</v>
      </c>
    </row>
    <row r="112" spans="1:5" x14ac:dyDescent="0.3">
      <c r="A112" s="4">
        <v>111</v>
      </c>
      <c r="B112" s="5" t="s">
        <v>116</v>
      </c>
      <c r="C112" s="5" t="s">
        <v>11</v>
      </c>
      <c r="D112" s="4">
        <v>28</v>
      </c>
      <c r="E112" s="4">
        <v>65</v>
      </c>
    </row>
    <row r="113" spans="1:5" x14ac:dyDescent="0.3">
      <c r="A113" s="4">
        <v>112</v>
      </c>
      <c r="B113" s="5" t="s">
        <v>117</v>
      </c>
      <c r="C113" s="5" t="s">
        <v>19</v>
      </c>
      <c r="D113" s="4">
        <v>2.5</v>
      </c>
      <c r="E113" s="4">
        <v>200</v>
      </c>
    </row>
    <row r="114" spans="1:5" x14ac:dyDescent="0.3">
      <c r="A114" s="4">
        <v>113</v>
      </c>
      <c r="B114" s="5" t="s">
        <v>118</v>
      </c>
      <c r="C114" s="5" t="s">
        <v>3</v>
      </c>
      <c r="D114" s="4">
        <v>45</v>
      </c>
      <c r="E114" s="4">
        <v>20</v>
      </c>
    </row>
    <row r="115" spans="1:5" x14ac:dyDescent="0.3">
      <c r="A115" s="4">
        <v>114</v>
      </c>
      <c r="B115" s="5" t="s">
        <v>119</v>
      </c>
      <c r="C115" s="5" t="s">
        <v>1</v>
      </c>
      <c r="D115" s="4">
        <v>5</v>
      </c>
      <c r="E115" s="4">
        <v>120</v>
      </c>
    </row>
    <row r="116" spans="1:5" x14ac:dyDescent="0.3">
      <c r="A116" s="4">
        <v>115</v>
      </c>
      <c r="B116" s="5" t="s">
        <v>120</v>
      </c>
      <c r="C116" s="5" t="s">
        <v>7</v>
      </c>
      <c r="D116" s="4">
        <v>15</v>
      </c>
      <c r="E116" s="4">
        <v>150</v>
      </c>
    </row>
    <row r="117" spans="1:5" x14ac:dyDescent="0.3">
      <c r="A117" s="4">
        <v>116</v>
      </c>
      <c r="B117" s="5" t="s">
        <v>121</v>
      </c>
      <c r="C117" s="5" t="s">
        <v>5</v>
      </c>
      <c r="D117" s="4">
        <v>55</v>
      </c>
      <c r="E117" s="4">
        <v>40</v>
      </c>
    </row>
    <row r="118" spans="1:5" x14ac:dyDescent="0.3">
      <c r="A118" s="4">
        <v>117</v>
      </c>
      <c r="B118" s="5" t="s">
        <v>122</v>
      </c>
      <c r="C118" s="5" t="s">
        <v>11</v>
      </c>
      <c r="D118" s="4">
        <v>20</v>
      </c>
      <c r="E118" s="4">
        <v>35</v>
      </c>
    </row>
    <row r="119" spans="1:5" x14ac:dyDescent="0.3">
      <c r="A119" s="4">
        <v>118</v>
      </c>
      <c r="B119" s="5" t="s">
        <v>123</v>
      </c>
      <c r="C119" s="5" t="s">
        <v>19</v>
      </c>
      <c r="D119" s="4">
        <v>1.5</v>
      </c>
      <c r="E119" s="4">
        <v>300</v>
      </c>
    </row>
    <row r="120" spans="1:5" x14ac:dyDescent="0.3">
      <c r="A120" s="4">
        <v>119</v>
      </c>
      <c r="B120" s="5" t="s">
        <v>124</v>
      </c>
      <c r="C120" s="5" t="s">
        <v>3</v>
      </c>
      <c r="D120" s="4">
        <v>12.99</v>
      </c>
      <c r="E120" s="4">
        <v>110</v>
      </c>
    </row>
    <row r="121" spans="1:5" x14ac:dyDescent="0.3">
      <c r="A121" s="4">
        <v>120</v>
      </c>
      <c r="B121" s="5" t="s">
        <v>125</v>
      </c>
      <c r="C121" s="5" t="s">
        <v>1</v>
      </c>
      <c r="D121" s="4">
        <v>2.5</v>
      </c>
      <c r="E121" s="4">
        <v>250</v>
      </c>
    </row>
    <row r="122" spans="1:5" x14ac:dyDescent="0.3">
      <c r="A122" s="4">
        <v>121</v>
      </c>
      <c r="B122" s="5" t="s">
        <v>126</v>
      </c>
      <c r="C122" s="5" t="s">
        <v>7</v>
      </c>
      <c r="D122" s="4">
        <v>3</v>
      </c>
      <c r="E122" s="4">
        <v>300</v>
      </c>
    </row>
    <row r="123" spans="1:5" x14ac:dyDescent="0.3">
      <c r="A123" s="4">
        <v>122</v>
      </c>
      <c r="B123" s="5" t="s">
        <v>127</v>
      </c>
      <c r="C123" s="5" t="s">
        <v>5</v>
      </c>
      <c r="D123" s="4">
        <v>14</v>
      </c>
      <c r="E123" s="4">
        <v>90</v>
      </c>
    </row>
    <row r="124" spans="1:5" x14ac:dyDescent="0.3">
      <c r="A124" s="4">
        <v>123</v>
      </c>
      <c r="B124" s="5" t="s">
        <v>128</v>
      </c>
      <c r="C124" s="5" t="s">
        <v>11</v>
      </c>
      <c r="D124" s="4">
        <v>15</v>
      </c>
      <c r="E124" s="4">
        <v>80</v>
      </c>
    </row>
    <row r="125" spans="1:5" x14ac:dyDescent="0.3">
      <c r="A125" s="4">
        <v>124</v>
      </c>
      <c r="B125" s="5" t="s">
        <v>129</v>
      </c>
      <c r="C125" s="5" t="s">
        <v>19</v>
      </c>
      <c r="D125" s="4">
        <v>5</v>
      </c>
      <c r="E125" s="4">
        <v>50</v>
      </c>
    </row>
    <row r="126" spans="1:5" x14ac:dyDescent="0.3">
      <c r="A126" s="4">
        <v>125</v>
      </c>
      <c r="B126" s="5" t="s">
        <v>130</v>
      </c>
      <c r="C126" s="5" t="s">
        <v>3</v>
      </c>
      <c r="D126" s="4">
        <v>80</v>
      </c>
      <c r="E126" s="4">
        <v>15</v>
      </c>
    </row>
    <row r="127" spans="1:5" x14ac:dyDescent="0.3">
      <c r="A127" s="4">
        <v>126</v>
      </c>
      <c r="B127" s="5" t="s">
        <v>131</v>
      </c>
      <c r="C127" s="5" t="s">
        <v>1</v>
      </c>
      <c r="D127" s="4">
        <v>1.5</v>
      </c>
      <c r="E127" s="4">
        <v>400</v>
      </c>
    </row>
    <row r="128" spans="1:5" x14ac:dyDescent="0.3">
      <c r="A128" s="4">
        <v>127</v>
      </c>
      <c r="B128" s="5" t="s">
        <v>132</v>
      </c>
      <c r="C128" s="5" t="s">
        <v>7</v>
      </c>
      <c r="D128" s="4">
        <v>25</v>
      </c>
      <c r="E128" s="4">
        <v>45</v>
      </c>
    </row>
    <row r="129" spans="1:5" x14ac:dyDescent="0.3">
      <c r="A129" s="4">
        <v>128</v>
      </c>
      <c r="B129" s="5" t="s">
        <v>133</v>
      </c>
      <c r="C129" s="5" t="s">
        <v>5</v>
      </c>
      <c r="D129" s="4">
        <v>28</v>
      </c>
      <c r="E129" s="4">
        <v>60</v>
      </c>
    </row>
    <row r="130" spans="1:5" x14ac:dyDescent="0.3">
      <c r="A130" s="4">
        <v>129</v>
      </c>
      <c r="B130" s="5" t="s">
        <v>134</v>
      </c>
      <c r="C130" s="5" t="s">
        <v>11</v>
      </c>
      <c r="D130" s="4">
        <v>65</v>
      </c>
      <c r="E130" s="4">
        <v>20</v>
      </c>
    </row>
    <row r="131" spans="1:5" x14ac:dyDescent="0.3">
      <c r="A131" s="4">
        <v>130</v>
      </c>
      <c r="B131" s="5" t="s">
        <v>135</v>
      </c>
      <c r="C131" s="5" t="s">
        <v>19</v>
      </c>
      <c r="D131" s="4">
        <v>10</v>
      </c>
      <c r="E131" s="4">
        <v>100</v>
      </c>
    </row>
    <row r="132" spans="1:5" x14ac:dyDescent="0.3">
      <c r="A132" s="4">
        <v>131</v>
      </c>
      <c r="B132" s="5" t="s">
        <v>136</v>
      </c>
      <c r="C132" s="5" t="s">
        <v>3</v>
      </c>
      <c r="D132" s="4">
        <v>85</v>
      </c>
      <c r="E132" s="4">
        <v>25</v>
      </c>
    </row>
    <row r="133" spans="1:5" x14ac:dyDescent="0.3">
      <c r="A133" s="4">
        <v>132</v>
      </c>
      <c r="B133" s="5" t="s">
        <v>137</v>
      </c>
      <c r="C133" s="5" t="s">
        <v>1</v>
      </c>
      <c r="D133" s="4">
        <v>3</v>
      </c>
      <c r="E133" s="4">
        <v>180</v>
      </c>
    </row>
    <row r="134" spans="1:5" x14ac:dyDescent="0.3">
      <c r="A134" s="4">
        <v>133</v>
      </c>
      <c r="B134" s="5" t="s">
        <v>138</v>
      </c>
      <c r="C134" s="5" t="s">
        <v>7</v>
      </c>
      <c r="D134" s="4">
        <v>12</v>
      </c>
      <c r="E134" s="4">
        <v>110</v>
      </c>
    </row>
    <row r="135" spans="1:5" x14ac:dyDescent="0.3">
      <c r="A135" s="4">
        <v>134</v>
      </c>
      <c r="B135" s="5" t="s">
        <v>139</v>
      </c>
      <c r="C135" s="5" t="s">
        <v>5</v>
      </c>
      <c r="D135" s="4">
        <v>25</v>
      </c>
      <c r="E135" s="4">
        <v>85</v>
      </c>
    </row>
    <row r="136" spans="1:5" x14ac:dyDescent="0.3">
      <c r="A136" s="4">
        <v>135</v>
      </c>
      <c r="B136" s="5" t="s">
        <v>140</v>
      </c>
      <c r="C136" s="5" t="s">
        <v>11</v>
      </c>
      <c r="D136" s="4">
        <v>55</v>
      </c>
      <c r="E136" s="4">
        <v>18</v>
      </c>
    </row>
    <row r="137" spans="1:5" x14ac:dyDescent="0.3">
      <c r="A137" s="4">
        <v>136</v>
      </c>
      <c r="B137" s="5" t="s">
        <v>141</v>
      </c>
      <c r="C137" s="5" t="s">
        <v>19</v>
      </c>
      <c r="D137" s="4">
        <v>1</v>
      </c>
      <c r="E137" s="4">
        <v>200</v>
      </c>
    </row>
    <row r="138" spans="1:5" x14ac:dyDescent="0.3">
      <c r="A138" s="4">
        <v>137</v>
      </c>
      <c r="B138" s="5" t="s">
        <v>142</v>
      </c>
      <c r="C138" s="5" t="s">
        <v>3</v>
      </c>
      <c r="D138" s="4">
        <v>20</v>
      </c>
      <c r="E138" s="4">
        <v>90</v>
      </c>
    </row>
    <row r="139" spans="1:5" x14ac:dyDescent="0.3">
      <c r="A139" s="4">
        <v>138</v>
      </c>
      <c r="B139" s="5" t="s">
        <v>143</v>
      </c>
      <c r="C139" s="5" t="s">
        <v>1</v>
      </c>
      <c r="D139" s="4">
        <v>2.8</v>
      </c>
      <c r="E139" s="4">
        <v>150</v>
      </c>
    </row>
    <row r="140" spans="1:5" x14ac:dyDescent="0.3">
      <c r="A140" s="4">
        <v>139</v>
      </c>
      <c r="B140" s="5" t="s">
        <v>144</v>
      </c>
      <c r="C140" s="5" t="s">
        <v>7</v>
      </c>
      <c r="D140" s="4">
        <v>14</v>
      </c>
      <c r="E140" s="4">
        <v>55</v>
      </c>
    </row>
    <row r="141" spans="1:5" x14ac:dyDescent="0.3">
      <c r="A141" s="4">
        <v>140</v>
      </c>
      <c r="B141" s="5" t="s">
        <v>145</v>
      </c>
      <c r="C141" s="5" t="s">
        <v>5</v>
      </c>
      <c r="D141" s="4">
        <v>45</v>
      </c>
      <c r="E141" s="4">
        <v>70</v>
      </c>
    </row>
    <row r="142" spans="1:5" x14ac:dyDescent="0.3">
      <c r="A142" s="4">
        <v>141</v>
      </c>
      <c r="B142" s="5" t="s">
        <v>146</v>
      </c>
      <c r="C142" s="5" t="s">
        <v>11</v>
      </c>
      <c r="D142" s="4">
        <v>130</v>
      </c>
      <c r="E142" s="4">
        <v>8</v>
      </c>
    </row>
    <row r="143" spans="1:5" x14ac:dyDescent="0.3">
      <c r="A143" s="4">
        <v>142</v>
      </c>
      <c r="B143" s="5" t="s">
        <v>147</v>
      </c>
      <c r="C143" s="5" t="s">
        <v>19</v>
      </c>
      <c r="D143" s="4">
        <v>2</v>
      </c>
      <c r="E143" s="4">
        <v>400</v>
      </c>
    </row>
    <row r="144" spans="1:5" x14ac:dyDescent="0.3">
      <c r="A144" s="4">
        <v>143</v>
      </c>
      <c r="B144" s="5" t="s">
        <v>148</v>
      </c>
      <c r="C144" s="5" t="s">
        <v>3</v>
      </c>
      <c r="D144" s="4">
        <v>9</v>
      </c>
      <c r="E144" s="4">
        <v>250</v>
      </c>
    </row>
    <row r="145" spans="1:5" x14ac:dyDescent="0.3">
      <c r="A145" s="4">
        <v>144</v>
      </c>
      <c r="B145" s="5" t="s">
        <v>149</v>
      </c>
      <c r="C145" s="5" t="s">
        <v>1</v>
      </c>
      <c r="D145" s="4">
        <v>1.2</v>
      </c>
      <c r="E145" s="4">
        <v>180</v>
      </c>
    </row>
    <row r="146" spans="1:5" x14ac:dyDescent="0.3">
      <c r="A146" s="4">
        <v>145</v>
      </c>
      <c r="B146" s="5" t="s">
        <v>150</v>
      </c>
      <c r="C146" s="5" t="s">
        <v>7</v>
      </c>
      <c r="D146" s="4">
        <v>45</v>
      </c>
      <c r="E146" s="4">
        <v>30</v>
      </c>
    </row>
    <row r="147" spans="1:5" x14ac:dyDescent="0.3">
      <c r="A147" s="4">
        <v>146</v>
      </c>
      <c r="B147" s="5" t="s">
        <v>151</v>
      </c>
      <c r="C147" s="5" t="s">
        <v>5</v>
      </c>
      <c r="D147" s="4">
        <v>35</v>
      </c>
      <c r="E147" s="4">
        <v>50</v>
      </c>
    </row>
    <row r="148" spans="1:5" x14ac:dyDescent="0.3">
      <c r="A148" s="4">
        <v>147</v>
      </c>
      <c r="B148" s="5" t="s">
        <v>152</v>
      </c>
      <c r="C148" s="5" t="s">
        <v>11</v>
      </c>
      <c r="D148" s="4">
        <v>12</v>
      </c>
      <c r="E148" s="4">
        <v>100</v>
      </c>
    </row>
    <row r="149" spans="1:5" x14ac:dyDescent="0.3">
      <c r="A149" s="4">
        <v>148</v>
      </c>
      <c r="B149" s="5" t="s">
        <v>153</v>
      </c>
      <c r="C149" s="5" t="s">
        <v>19</v>
      </c>
      <c r="D149" s="4">
        <v>4.5</v>
      </c>
      <c r="E149" s="4">
        <v>150</v>
      </c>
    </row>
    <row r="150" spans="1:5" x14ac:dyDescent="0.3">
      <c r="A150" s="4">
        <v>149</v>
      </c>
      <c r="B150" s="5" t="s">
        <v>154</v>
      </c>
      <c r="C150" s="5" t="s">
        <v>3</v>
      </c>
      <c r="D150" s="4">
        <v>55</v>
      </c>
      <c r="E150" s="4">
        <v>12</v>
      </c>
    </row>
    <row r="151" spans="1:5" x14ac:dyDescent="0.3">
      <c r="A151" s="4">
        <v>150</v>
      </c>
      <c r="B151" s="5" t="s">
        <v>155</v>
      </c>
      <c r="C151" s="5" t="s">
        <v>1</v>
      </c>
      <c r="D151" s="4">
        <v>10</v>
      </c>
      <c r="E151" s="4">
        <v>60</v>
      </c>
    </row>
    <row r="152" spans="1:5" x14ac:dyDescent="0.3">
      <c r="A152" s="4">
        <v>151</v>
      </c>
      <c r="B152" s="5" t="s">
        <v>156</v>
      </c>
      <c r="C152" s="5" t="s">
        <v>7</v>
      </c>
      <c r="D152" s="4">
        <v>48</v>
      </c>
      <c r="E152" s="4">
        <v>20</v>
      </c>
    </row>
    <row r="153" spans="1:5" x14ac:dyDescent="0.3">
      <c r="A153" s="4">
        <v>152</v>
      </c>
      <c r="B153" s="5" t="s">
        <v>157</v>
      </c>
      <c r="C153" s="5" t="s">
        <v>5</v>
      </c>
      <c r="D153" s="4">
        <v>40</v>
      </c>
      <c r="E153" s="4">
        <v>45</v>
      </c>
    </row>
    <row r="154" spans="1:5" x14ac:dyDescent="0.3">
      <c r="A154" s="4">
        <v>153</v>
      </c>
      <c r="B154" s="5" t="s">
        <v>158</v>
      </c>
      <c r="C154" s="5" t="s">
        <v>11</v>
      </c>
      <c r="D154" s="4">
        <v>12</v>
      </c>
      <c r="E154" s="4">
        <v>70</v>
      </c>
    </row>
    <row r="155" spans="1:5" x14ac:dyDescent="0.3">
      <c r="A155" s="4">
        <v>154</v>
      </c>
      <c r="B155" s="5" t="s">
        <v>159</v>
      </c>
      <c r="C155" s="5" t="s">
        <v>19</v>
      </c>
      <c r="D155" s="4">
        <v>9</v>
      </c>
      <c r="E155" s="4">
        <v>130</v>
      </c>
    </row>
    <row r="156" spans="1:5" x14ac:dyDescent="0.3">
      <c r="A156" s="4">
        <v>155</v>
      </c>
      <c r="B156" s="5" t="s">
        <v>160</v>
      </c>
      <c r="C156" s="5" t="s">
        <v>3</v>
      </c>
      <c r="D156" s="4">
        <v>35</v>
      </c>
      <c r="E156" s="4">
        <v>85</v>
      </c>
    </row>
    <row r="157" spans="1:5" x14ac:dyDescent="0.3">
      <c r="A157" s="4">
        <v>156</v>
      </c>
      <c r="B157" s="5" t="s">
        <v>161</v>
      </c>
      <c r="C157" s="5" t="s">
        <v>1</v>
      </c>
      <c r="D157" s="4">
        <v>4.5</v>
      </c>
      <c r="E157" s="4">
        <v>200</v>
      </c>
    </row>
    <row r="158" spans="1:5" x14ac:dyDescent="0.3">
      <c r="A158" s="4">
        <v>157</v>
      </c>
      <c r="B158" s="5" t="s">
        <v>162</v>
      </c>
      <c r="C158" s="5" t="s">
        <v>7</v>
      </c>
      <c r="D158" s="4">
        <v>89</v>
      </c>
      <c r="E158" s="4">
        <v>15</v>
      </c>
    </row>
    <row r="159" spans="1:5" x14ac:dyDescent="0.3">
      <c r="A159" s="4">
        <v>158</v>
      </c>
      <c r="B159" s="5" t="s">
        <v>163</v>
      </c>
      <c r="C159" s="5" t="s">
        <v>5</v>
      </c>
      <c r="D159" s="4">
        <v>15</v>
      </c>
      <c r="E159" s="4">
        <v>120</v>
      </c>
    </row>
    <row r="160" spans="1:5" x14ac:dyDescent="0.3">
      <c r="A160" s="4">
        <v>159</v>
      </c>
      <c r="B160" s="5" t="s">
        <v>164</v>
      </c>
      <c r="C160" s="5" t="s">
        <v>11</v>
      </c>
      <c r="D160" s="4">
        <v>20</v>
      </c>
      <c r="E160" s="4">
        <v>40</v>
      </c>
    </row>
    <row r="161" spans="1:5" x14ac:dyDescent="0.3">
      <c r="A161" s="4">
        <v>160</v>
      </c>
      <c r="B161" s="5" t="s">
        <v>165</v>
      </c>
      <c r="C161" s="5" t="s">
        <v>19</v>
      </c>
      <c r="D161" s="4">
        <v>3</v>
      </c>
      <c r="E161" s="4">
        <v>350</v>
      </c>
    </row>
    <row r="162" spans="1:5" x14ac:dyDescent="0.3">
      <c r="A162" s="4">
        <v>161</v>
      </c>
      <c r="B162" s="5" t="s">
        <v>166</v>
      </c>
      <c r="C162" s="5" t="s">
        <v>3</v>
      </c>
      <c r="D162" s="4">
        <v>25</v>
      </c>
      <c r="E162" s="4">
        <v>40</v>
      </c>
    </row>
    <row r="163" spans="1:5" x14ac:dyDescent="0.3">
      <c r="A163" s="4">
        <v>162</v>
      </c>
      <c r="B163" s="5" t="s">
        <v>167</v>
      </c>
      <c r="C163" s="5" t="s">
        <v>1</v>
      </c>
      <c r="D163" s="4">
        <v>2</v>
      </c>
      <c r="E163" s="4">
        <v>220</v>
      </c>
    </row>
    <row r="164" spans="1:5" x14ac:dyDescent="0.3">
      <c r="A164" s="4">
        <v>163</v>
      </c>
      <c r="B164" s="5" t="s">
        <v>168</v>
      </c>
      <c r="C164" s="5" t="s">
        <v>7</v>
      </c>
      <c r="D164" s="4">
        <v>35</v>
      </c>
      <c r="E164" s="4">
        <v>25</v>
      </c>
    </row>
    <row r="165" spans="1:5" x14ac:dyDescent="0.3">
      <c r="A165" s="4">
        <v>164</v>
      </c>
      <c r="B165" s="5" t="s">
        <v>169</v>
      </c>
      <c r="C165" s="5" t="s">
        <v>5</v>
      </c>
      <c r="D165" s="4">
        <v>22</v>
      </c>
      <c r="E165" s="4">
        <v>60</v>
      </c>
    </row>
    <row r="166" spans="1:5" x14ac:dyDescent="0.3">
      <c r="A166" s="4">
        <v>165</v>
      </c>
      <c r="B166" s="5" t="s">
        <v>170</v>
      </c>
      <c r="C166" s="5" t="s">
        <v>11</v>
      </c>
      <c r="D166" s="4">
        <v>95</v>
      </c>
      <c r="E166" s="4">
        <v>30</v>
      </c>
    </row>
    <row r="167" spans="1:5" x14ac:dyDescent="0.3">
      <c r="A167" s="4">
        <v>166</v>
      </c>
      <c r="B167" s="5" t="s">
        <v>171</v>
      </c>
      <c r="C167" s="5" t="s">
        <v>19</v>
      </c>
      <c r="D167" s="4">
        <v>6</v>
      </c>
      <c r="E167" s="4">
        <v>40</v>
      </c>
    </row>
    <row r="168" spans="1:5" x14ac:dyDescent="0.3">
      <c r="A168" s="4">
        <v>167</v>
      </c>
      <c r="B168" s="5" t="s">
        <v>172</v>
      </c>
      <c r="C168" s="5" t="s">
        <v>3</v>
      </c>
      <c r="D168" s="4">
        <v>29</v>
      </c>
      <c r="E168" s="4">
        <v>15</v>
      </c>
    </row>
    <row r="169" spans="1:5" x14ac:dyDescent="0.3">
      <c r="A169" s="4">
        <v>168</v>
      </c>
      <c r="B169" s="5" t="s">
        <v>173</v>
      </c>
      <c r="C169" s="5" t="s">
        <v>1</v>
      </c>
      <c r="D169" s="4">
        <v>5.5</v>
      </c>
      <c r="E169" s="4">
        <v>100</v>
      </c>
    </row>
    <row r="170" spans="1:5" x14ac:dyDescent="0.3">
      <c r="A170" s="4">
        <v>169</v>
      </c>
      <c r="B170" s="5" t="s">
        <v>174</v>
      </c>
      <c r="C170" s="5" t="s">
        <v>7</v>
      </c>
      <c r="D170" s="4">
        <v>60</v>
      </c>
      <c r="E170" s="4">
        <v>10</v>
      </c>
    </row>
    <row r="171" spans="1:5" x14ac:dyDescent="0.3">
      <c r="A171" s="4">
        <v>170</v>
      </c>
      <c r="B171" s="5" t="s">
        <v>175</v>
      </c>
      <c r="C171" s="5" t="s">
        <v>5</v>
      </c>
      <c r="D171" s="4">
        <v>28</v>
      </c>
      <c r="E171" s="4">
        <v>85</v>
      </c>
    </row>
    <row r="172" spans="1:5" x14ac:dyDescent="0.3">
      <c r="A172" s="4">
        <v>171</v>
      </c>
      <c r="B172" s="5" t="s">
        <v>176</v>
      </c>
      <c r="C172" s="5" t="s">
        <v>11</v>
      </c>
      <c r="D172" s="4">
        <v>55</v>
      </c>
      <c r="E172" s="4">
        <v>20</v>
      </c>
    </row>
    <row r="173" spans="1:5" x14ac:dyDescent="0.3">
      <c r="A173" s="4">
        <v>172</v>
      </c>
      <c r="B173" s="5" t="s">
        <v>177</v>
      </c>
      <c r="C173" s="5" t="s">
        <v>19</v>
      </c>
      <c r="D173" s="4">
        <v>2.5</v>
      </c>
      <c r="E173" s="4">
        <v>300</v>
      </c>
    </row>
    <row r="174" spans="1:5" x14ac:dyDescent="0.3">
      <c r="A174" s="4">
        <v>173</v>
      </c>
      <c r="B174" s="5" t="s">
        <v>178</v>
      </c>
      <c r="C174" s="5" t="s">
        <v>3</v>
      </c>
      <c r="D174" s="4">
        <v>120</v>
      </c>
      <c r="E174" s="4">
        <v>8</v>
      </c>
    </row>
    <row r="175" spans="1:5" x14ac:dyDescent="0.3">
      <c r="A175" s="4">
        <v>174</v>
      </c>
      <c r="B175" s="5" t="s">
        <v>179</v>
      </c>
      <c r="C175" s="5" t="s">
        <v>1</v>
      </c>
      <c r="D175" s="4">
        <v>2.2000000000000002</v>
      </c>
      <c r="E175" s="4">
        <v>180</v>
      </c>
    </row>
    <row r="176" spans="1:5" x14ac:dyDescent="0.3">
      <c r="A176" s="4">
        <v>175</v>
      </c>
      <c r="B176" s="5" t="s">
        <v>180</v>
      </c>
      <c r="C176" s="5" t="s">
        <v>7</v>
      </c>
      <c r="D176" s="4">
        <v>4</v>
      </c>
      <c r="E176" s="4">
        <v>150</v>
      </c>
    </row>
    <row r="177" spans="1:5" x14ac:dyDescent="0.3">
      <c r="A177" s="4">
        <v>176</v>
      </c>
      <c r="B177" s="5" t="s">
        <v>181</v>
      </c>
      <c r="C177" s="5" t="s">
        <v>5</v>
      </c>
      <c r="D177" s="4">
        <v>50</v>
      </c>
      <c r="E177" s="4">
        <v>40</v>
      </c>
    </row>
    <row r="178" spans="1:5" x14ac:dyDescent="0.3">
      <c r="A178" s="4">
        <v>177</v>
      </c>
      <c r="B178" s="5" t="s">
        <v>182</v>
      </c>
      <c r="C178" s="5" t="s">
        <v>11</v>
      </c>
      <c r="D178" s="4">
        <v>22</v>
      </c>
      <c r="E178" s="4">
        <v>30</v>
      </c>
    </row>
    <row r="179" spans="1:5" x14ac:dyDescent="0.3">
      <c r="A179" s="4">
        <v>178</v>
      </c>
      <c r="B179" s="5" t="s">
        <v>183</v>
      </c>
      <c r="C179" s="5" t="s">
        <v>19</v>
      </c>
      <c r="D179" s="4">
        <v>3</v>
      </c>
      <c r="E179" s="4">
        <v>100</v>
      </c>
    </row>
    <row r="180" spans="1:5" x14ac:dyDescent="0.3">
      <c r="A180" s="4">
        <v>179</v>
      </c>
      <c r="B180" s="5" t="s">
        <v>184</v>
      </c>
      <c r="C180" s="5" t="s">
        <v>3</v>
      </c>
      <c r="D180" s="4">
        <v>25</v>
      </c>
      <c r="E180" s="4">
        <v>50</v>
      </c>
    </row>
    <row r="181" spans="1:5" x14ac:dyDescent="0.3">
      <c r="A181" s="4">
        <v>180</v>
      </c>
      <c r="B181" s="5" t="s">
        <v>185</v>
      </c>
      <c r="C181" s="5" t="s">
        <v>1</v>
      </c>
      <c r="D181" s="4">
        <v>2.5</v>
      </c>
      <c r="E181" s="4">
        <v>140</v>
      </c>
    </row>
    <row r="182" spans="1:5" x14ac:dyDescent="0.3">
      <c r="A182" s="4">
        <v>181</v>
      </c>
      <c r="B182" s="5" t="s">
        <v>186</v>
      </c>
      <c r="C182" s="5" t="s">
        <v>7</v>
      </c>
      <c r="D182" s="4">
        <v>28</v>
      </c>
      <c r="E182" s="4">
        <v>35</v>
      </c>
    </row>
    <row r="183" spans="1:5" x14ac:dyDescent="0.3">
      <c r="A183" s="4">
        <v>182</v>
      </c>
      <c r="B183" s="5" t="s">
        <v>187</v>
      </c>
      <c r="C183" s="5" t="s">
        <v>5</v>
      </c>
      <c r="D183" s="4">
        <v>42</v>
      </c>
      <c r="E183" s="4">
        <v>55</v>
      </c>
    </row>
    <row r="184" spans="1:5" x14ac:dyDescent="0.3">
      <c r="A184" s="4">
        <v>183</v>
      </c>
      <c r="B184" s="5" t="s">
        <v>188</v>
      </c>
      <c r="C184" s="5" t="s">
        <v>11</v>
      </c>
      <c r="D184" s="4">
        <v>30</v>
      </c>
      <c r="E184" s="4">
        <v>45</v>
      </c>
    </row>
    <row r="185" spans="1:5" x14ac:dyDescent="0.3">
      <c r="A185" s="4">
        <v>184</v>
      </c>
      <c r="B185" s="5" t="s">
        <v>189</v>
      </c>
      <c r="C185" s="5" t="s">
        <v>19</v>
      </c>
      <c r="D185" s="4">
        <v>15</v>
      </c>
      <c r="E185" s="4">
        <v>80</v>
      </c>
    </row>
    <row r="186" spans="1:5" x14ac:dyDescent="0.3">
      <c r="A186" s="4">
        <v>185</v>
      </c>
      <c r="B186" s="5" t="s">
        <v>190</v>
      </c>
      <c r="C186" s="5" t="s">
        <v>3</v>
      </c>
      <c r="D186" s="4">
        <v>20</v>
      </c>
      <c r="E186" s="4">
        <v>30</v>
      </c>
    </row>
    <row r="187" spans="1:5" x14ac:dyDescent="0.3">
      <c r="A187" s="4">
        <v>186</v>
      </c>
      <c r="B187" s="5" t="s">
        <v>191</v>
      </c>
      <c r="C187" s="5" t="s">
        <v>1</v>
      </c>
      <c r="D187" s="4">
        <v>3.5</v>
      </c>
      <c r="E187" s="4">
        <v>160</v>
      </c>
    </row>
    <row r="188" spans="1:5" x14ac:dyDescent="0.3">
      <c r="A188" s="4">
        <v>187</v>
      </c>
      <c r="B188" s="5" t="s">
        <v>192</v>
      </c>
      <c r="C188" s="5" t="s">
        <v>7</v>
      </c>
      <c r="D188" s="4">
        <v>40</v>
      </c>
      <c r="E188" s="4">
        <v>15</v>
      </c>
    </row>
    <row r="189" spans="1:5" x14ac:dyDescent="0.3">
      <c r="A189" s="4">
        <v>188</v>
      </c>
      <c r="B189" s="5" t="s">
        <v>193</v>
      </c>
      <c r="C189" s="5" t="s">
        <v>5</v>
      </c>
      <c r="D189" s="4">
        <v>25</v>
      </c>
      <c r="E189" s="4">
        <v>90</v>
      </c>
    </row>
    <row r="190" spans="1:5" x14ac:dyDescent="0.3">
      <c r="A190" s="4">
        <v>189</v>
      </c>
      <c r="B190" s="5" t="s">
        <v>194</v>
      </c>
      <c r="C190" s="5" t="s">
        <v>11</v>
      </c>
      <c r="D190" s="4">
        <v>8</v>
      </c>
      <c r="E190" s="4">
        <v>120</v>
      </c>
    </row>
    <row r="191" spans="1:5" x14ac:dyDescent="0.3">
      <c r="A191" s="4">
        <v>190</v>
      </c>
      <c r="B191" s="5" t="s">
        <v>195</v>
      </c>
      <c r="C191" s="5" t="s">
        <v>19</v>
      </c>
      <c r="D191" s="4">
        <v>2.5</v>
      </c>
      <c r="E191" s="4">
        <v>250</v>
      </c>
    </row>
    <row r="192" spans="1:5" x14ac:dyDescent="0.3">
      <c r="A192" s="4">
        <v>191</v>
      </c>
      <c r="B192" s="5" t="s">
        <v>196</v>
      </c>
      <c r="C192" s="5" t="s">
        <v>3</v>
      </c>
      <c r="D192" s="4">
        <v>22</v>
      </c>
      <c r="E192" s="4">
        <v>45</v>
      </c>
    </row>
    <row r="193" spans="1:5" x14ac:dyDescent="0.3">
      <c r="A193" s="4">
        <v>192</v>
      </c>
      <c r="B193" s="5" t="s">
        <v>197</v>
      </c>
      <c r="C193" s="5" t="s">
        <v>1</v>
      </c>
      <c r="D193" s="4">
        <v>2.99</v>
      </c>
      <c r="E193" s="4">
        <v>130</v>
      </c>
    </row>
    <row r="194" spans="1:5" x14ac:dyDescent="0.3">
      <c r="A194" s="4">
        <v>193</v>
      </c>
      <c r="B194" s="5" t="s">
        <v>198</v>
      </c>
      <c r="C194" s="5" t="s">
        <v>7</v>
      </c>
      <c r="D194" s="4">
        <v>12</v>
      </c>
      <c r="E194" s="4">
        <v>80</v>
      </c>
    </row>
    <row r="195" spans="1:5" x14ac:dyDescent="0.3">
      <c r="A195" s="4">
        <v>194</v>
      </c>
      <c r="B195" s="5" t="s">
        <v>199</v>
      </c>
      <c r="C195" s="5" t="s">
        <v>5</v>
      </c>
      <c r="D195" s="4">
        <v>12</v>
      </c>
      <c r="E195" s="4">
        <v>110</v>
      </c>
    </row>
    <row r="196" spans="1:5" x14ac:dyDescent="0.3">
      <c r="A196" s="4">
        <v>195</v>
      </c>
      <c r="B196" s="5" t="s">
        <v>200</v>
      </c>
      <c r="C196" s="5" t="s">
        <v>11</v>
      </c>
      <c r="D196" s="4">
        <v>25</v>
      </c>
      <c r="E196" s="4">
        <v>40</v>
      </c>
    </row>
    <row r="197" spans="1:5" x14ac:dyDescent="0.3">
      <c r="A197" s="4">
        <v>196</v>
      </c>
      <c r="B197" s="5" t="s">
        <v>201</v>
      </c>
      <c r="C197" s="5" t="s">
        <v>19</v>
      </c>
      <c r="D197" s="4">
        <v>35</v>
      </c>
      <c r="E197" s="4">
        <v>20</v>
      </c>
    </row>
    <row r="198" spans="1:5" x14ac:dyDescent="0.3">
      <c r="A198" s="4">
        <v>197</v>
      </c>
      <c r="B198" s="5" t="s">
        <v>202</v>
      </c>
      <c r="C198" s="5" t="s">
        <v>3</v>
      </c>
      <c r="D198" s="4">
        <v>15</v>
      </c>
      <c r="E198" s="4">
        <v>60</v>
      </c>
    </row>
    <row r="199" spans="1:5" x14ac:dyDescent="0.3">
      <c r="A199" s="4">
        <v>198</v>
      </c>
      <c r="B199" s="5" t="s">
        <v>203</v>
      </c>
      <c r="C199" s="5" t="s">
        <v>1</v>
      </c>
      <c r="D199" s="4">
        <v>1.5</v>
      </c>
      <c r="E199" s="4">
        <v>200</v>
      </c>
    </row>
    <row r="200" spans="1:5" x14ac:dyDescent="0.3">
      <c r="A200" s="4">
        <v>199</v>
      </c>
      <c r="B200" s="5" t="s">
        <v>204</v>
      </c>
      <c r="C200" s="5" t="s">
        <v>7</v>
      </c>
      <c r="D200" s="4">
        <v>25</v>
      </c>
      <c r="E200" s="4">
        <v>30</v>
      </c>
    </row>
    <row r="201" spans="1:5" x14ac:dyDescent="0.3">
      <c r="A201" s="4">
        <v>200</v>
      </c>
      <c r="B201" s="5" t="s">
        <v>205</v>
      </c>
      <c r="C201" s="5" t="s">
        <v>5</v>
      </c>
      <c r="D201" s="4">
        <v>110</v>
      </c>
      <c r="E201" s="4">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977A5-9DC6-4A75-BEC0-F54469CA5FEE}">
  <dimension ref="A3:C4"/>
  <sheetViews>
    <sheetView zoomScale="115" zoomScaleNormal="115" workbookViewId="0">
      <selection activeCell="B22" sqref="B22"/>
    </sheetView>
  </sheetViews>
  <sheetFormatPr defaultRowHeight="14.4" x14ac:dyDescent="0.3"/>
  <cols>
    <col min="1" max="1" width="17.5546875" bestFit="1" customWidth="1"/>
    <col min="2" max="2" width="20" bestFit="1" customWidth="1"/>
    <col min="3" max="3" width="17.109375" bestFit="1" customWidth="1"/>
  </cols>
  <sheetData>
    <row r="3" spans="1:3" x14ac:dyDescent="0.3">
      <c r="A3" s="10" t="s">
        <v>215</v>
      </c>
      <c r="B3" s="10" t="s">
        <v>213</v>
      </c>
      <c r="C3" s="10" t="s">
        <v>214</v>
      </c>
    </row>
    <row r="4" spans="1:3" x14ac:dyDescent="0.3">
      <c r="A4" s="7">
        <v>200</v>
      </c>
      <c r="B4" s="7">
        <v>21416</v>
      </c>
      <c r="C4" s="7">
        <v>248535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214D-2068-4F39-B8C2-387EA48506DE}">
  <dimension ref="A3:B9"/>
  <sheetViews>
    <sheetView workbookViewId="0">
      <selection activeCell="B6" sqref="B6"/>
    </sheetView>
  </sheetViews>
  <sheetFormatPr defaultRowHeight="14.4" x14ac:dyDescent="0.3"/>
  <cols>
    <col min="1" max="1" width="13.88671875" bestFit="1" customWidth="1"/>
    <col min="2" max="2" width="19.88671875" bestFit="1" customWidth="1"/>
  </cols>
  <sheetData>
    <row r="3" spans="1:2" x14ac:dyDescent="0.3">
      <c r="A3" s="8" t="s">
        <v>216</v>
      </c>
      <c r="B3" t="s">
        <v>213</v>
      </c>
    </row>
    <row r="4" spans="1:2" x14ac:dyDescent="0.3">
      <c r="A4" s="1" t="s">
        <v>19</v>
      </c>
      <c r="B4" s="7">
        <v>6443</v>
      </c>
    </row>
    <row r="5" spans="1:2" x14ac:dyDescent="0.3">
      <c r="A5" s="1" t="s">
        <v>11</v>
      </c>
      <c r="B5" s="7">
        <v>1568</v>
      </c>
    </row>
    <row r="6" spans="1:2" x14ac:dyDescent="0.3">
      <c r="A6" s="1" t="s">
        <v>7</v>
      </c>
      <c r="B6" s="7">
        <v>2320</v>
      </c>
    </row>
    <row r="7" spans="1:2" x14ac:dyDescent="0.3">
      <c r="A7" s="1" t="s">
        <v>1</v>
      </c>
      <c r="B7" s="7">
        <v>6085</v>
      </c>
    </row>
    <row r="8" spans="1:2" x14ac:dyDescent="0.3">
      <c r="A8" s="1" t="s">
        <v>3</v>
      </c>
      <c r="B8" s="7">
        <v>2675</v>
      </c>
    </row>
    <row r="9" spans="1:2" x14ac:dyDescent="0.3">
      <c r="A9" s="1" t="s">
        <v>5</v>
      </c>
      <c r="B9" s="7">
        <v>2325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22E85-B7F5-442F-903D-C3979CB96344}">
  <dimension ref="A3:B9"/>
  <sheetViews>
    <sheetView zoomScale="103" zoomScaleNormal="103" workbookViewId="0">
      <selection activeCell="J10" sqref="J10"/>
    </sheetView>
  </sheetViews>
  <sheetFormatPr defaultRowHeight="14.4" x14ac:dyDescent="0.3"/>
  <cols>
    <col min="1" max="1" width="14.33203125" bestFit="1" customWidth="1"/>
    <col min="2" max="2" width="17" bestFit="1" customWidth="1"/>
  </cols>
  <sheetData>
    <row r="3" spans="1:2" x14ac:dyDescent="0.3">
      <c r="A3" s="8" t="s">
        <v>216</v>
      </c>
      <c r="B3" t="s">
        <v>214</v>
      </c>
    </row>
    <row r="4" spans="1:2" x14ac:dyDescent="0.3">
      <c r="A4" s="1" t="s">
        <v>5</v>
      </c>
      <c r="B4" s="7">
        <v>63729.35</v>
      </c>
    </row>
    <row r="5" spans="1:2" x14ac:dyDescent="0.3">
      <c r="A5" s="1" t="s">
        <v>3</v>
      </c>
      <c r="B5" s="7">
        <v>67835.350000000006</v>
      </c>
    </row>
    <row r="6" spans="1:2" x14ac:dyDescent="0.3">
      <c r="A6" s="1" t="s">
        <v>1</v>
      </c>
      <c r="B6" s="7">
        <v>18722.100000000002</v>
      </c>
    </row>
    <row r="7" spans="1:2" x14ac:dyDescent="0.3">
      <c r="A7" s="1" t="s">
        <v>7</v>
      </c>
      <c r="B7" s="7">
        <v>36800.100000000006</v>
      </c>
    </row>
    <row r="8" spans="1:2" x14ac:dyDescent="0.3">
      <c r="A8" s="1" t="s">
        <v>11</v>
      </c>
      <c r="B8" s="7">
        <v>39994.6</v>
      </c>
    </row>
    <row r="9" spans="1:2" x14ac:dyDescent="0.3">
      <c r="A9" s="1" t="s">
        <v>19</v>
      </c>
      <c r="B9" s="7">
        <v>21453.5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80BC3-6D4C-4BD6-A676-396D4771961A}">
  <dimension ref="A1:B73"/>
  <sheetViews>
    <sheetView zoomScale="51" workbookViewId="0">
      <selection activeCell="B6" sqref="B6"/>
    </sheetView>
  </sheetViews>
  <sheetFormatPr defaultRowHeight="14.4" x14ac:dyDescent="0.3"/>
  <cols>
    <col min="1" max="1" width="27.5546875" bestFit="1" customWidth="1"/>
    <col min="2" max="2" width="19.88671875" bestFit="1" customWidth="1"/>
  </cols>
  <sheetData>
    <row r="1" spans="1:2" x14ac:dyDescent="0.3">
      <c r="A1" s="8" t="s">
        <v>212</v>
      </c>
      <c r="B1" s="10" t="s">
        <v>218</v>
      </c>
    </row>
    <row r="3" spans="1:2" x14ac:dyDescent="0.3">
      <c r="A3" s="8" t="s">
        <v>216</v>
      </c>
      <c r="B3" t="s">
        <v>217</v>
      </c>
    </row>
    <row r="4" spans="1:2" x14ac:dyDescent="0.3">
      <c r="A4" s="1" t="s">
        <v>182</v>
      </c>
      <c r="B4" s="7">
        <v>30</v>
      </c>
    </row>
    <row r="5" spans="1:2" x14ac:dyDescent="0.3">
      <c r="A5" s="1" t="s">
        <v>162</v>
      </c>
      <c r="B5" s="7">
        <v>15</v>
      </c>
    </row>
    <row r="6" spans="1:2" x14ac:dyDescent="0.3">
      <c r="A6" s="1" t="s">
        <v>59</v>
      </c>
      <c r="B6" s="7">
        <v>40</v>
      </c>
    </row>
    <row r="7" spans="1:2" x14ac:dyDescent="0.3">
      <c r="A7" s="1" t="s">
        <v>34</v>
      </c>
      <c r="B7" s="7">
        <v>25</v>
      </c>
    </row>
    <row r="8" spans="1:2" x14ac:dyDescent="0.3">
      <c r="A8" s="1" t="s">
        <v>122</v>
      </c>
      <c r="B8" s="7">
        <v>35</v>
      </c>
    </row>
    <row r="9" spans="1:2" x14ac:dyDescent="0.3">
      <c r="A9" s="1" t="s">
        <v>89</v>
      </c>
      <c r="B9" s="7">
        <v>25</v>
      </c>
    </row>
    <row r="10" spans="1:2" x14ac:dyDescent="0.3">
      <c r="A10" s="1" t="s">
        <v>104</v>
      </c>
      <c r="B10" s="7">
        <v>15</v>
      </c>
    </row>
    <row r="11" spans="1:2" x14ac:dyDescent="0.3">
      <c r="A11" s="1" t="s">
        <v>24</v>
      </c>
      <c r="B11" s="7">
        <v>20</v>
      </c>
    </row>
    <row r="12" spans="1:2" x14ac:dyDescent="0.3">
      <c r="A12" s="1" t="s">
        <v>75</v>
      </c>
      <c r="B12" s="7">
        <v>40</v>
      </c>
    </row>
    <row r="13" spans="1:2" x14ac:dyDescent="0.3">
      <c r="A13" s="1" t="s">
        <v>168</v>
      </c>
      <c r="B13" s="7">
        <v>25</v>
      </c>
    </row>
    <row r="14" spans="1:2" x14ac:dyDescent="0.3">
      <c r="A14" s="1" t="s">
        <v>166</v>
      </c>
      <c r="B14" s="7">
        <v>40</v>
      </c>
    </row>
    <row r="15" spans="1:2" x14ac:dyDescent="0.3">
      <c r="A15" s="1" t="s">
        <v>204</v>
      </c>
      <c r="B15" s="7">
        <v>30</v>
      </c>
    </row>
    <row r="16" spans="1:2" x14ac:dyDescent="0.3">
      <c r="A16" s="1" t="s">
        <v>29</v>
      </c>
      <c r="B16" s="7">
        <v>45</v>
      </c>
    </row>
    <row r="17" spans="1:2" x14ac:dyDescent="0.3">
      <c r="A17" s="1" t="s">
        <v>114</v>
      </c>
      <c r="B17" s="7">
        <v>40</v>
      </c>
    </row>
    <row r="18" spans="1:2" x14ac:dyDescent="0.3">
      <c r="A18" s="1" t="s">
        <v>157</v>
      </c>
      <c r="B18" s="7">
        <v>45</v>
      </c>
    </row>
    <row r="19" spans="1:2" x14ac:dyDescent="0.3">
      <c r="A19" s="1" t="s">
        <v>45</v>
      </c>
      <c r="B19" s="7">
        <v>40</v>
      </c>
    </row>
    <row r="20" spans="1:2" x14ac:dyDescent="0.3">
      <c r="A20" s="1" t="s">
        <v>172</v>
      </c>
      <c r="B20" s="7">
        <v>15</v>
      </c>
    </row>
    <row r="21" spans="1:2" x14ac:dyDescent="0.3">
      <c r="A21" s="1" t="s">
        <v>42</v>
      </c>
      <c r="B21" s="7">
        <v>45</v>
      </c>
    </row>
    <row r="22" spans="1:2" x14ac:dyDescent="0.3">
      <c r="A22" s="1" t="s">
        <v>105</v>
      </c>
      <c r="B22" s="7">
        <v>8</v>
      </c>
    </row>
    <row r="23" spans="1:2" x14ac:dyDescent="0.3">
      <c r="A23" s="1" t="s">
        <v>134</v>
      </c>
      <c r="B23" s="7">
        <v>20</v>
      </c>
    </row>
    <row r="24" spans="1:2" x14ac:dyDescent="0.3">
      <c r="A24" s="1" t="s">
        <v>156</v>
      </c>
      <c r="B24" s="7">
        <v>20</v>
      </c>
    </row>
    <row r="25" spans="1:2" x14ac:dyDescent="0.3">
      <c r="A25" s="1" t="s">
        <v>200</v>
      </c>
      <c r="B25" s="7">
        <v>40</v>
      </c>
    </row>
    <row r="26" spans="1:2" x14ac:dyDescent="0.3">
      <c r="A26" s="1" t="s">
        <v>30</v>
      </c>
      <c r="B26" s="7">
        <v>15</v>
      </c>
    </row>
    <row r="27" spans="1:2" x14ac:dyDescent="0.3">
      <c r="A27" s="1" t="s">
        <v>130</v>
      </c>
      <c r="B27" s="7">
        <v>15</v>
      </c>
    </row>
    <row r="28" spans="1:2" x14ac:dyDescent="0.3">
      <c r="A28" s="1" t="s">
        <v>170</v>
      </c>
      <c r="B28" s="7">
        <v>30</v>
      </c>
    </row>
    <row r="29" spans="1:2" x14ac:dyDescent="0.3">
      <c r="A29" s="1" t="s">
        <v>111</v>
      </c>
      <c r="B29" s="7">
        <v>45</v>
      </c>
    </row>
    <row r="30" spans="1:2" x14ac:dyDescent="0.3">
      <c r="A30" s="1" t="s">
        <v>72</v>
      </c>
      <c r="B30" s="7">
        <v>30</v>
      </c>
    </row>
    <row r="31" spans="1:2" x14ac:dyDescent="0.3">
      <c r="A31" s="1" t="s">
        <v>112</v>
      </c>
      <c r="B31" s="7">
        <v>25</v>
      </c>
    </row>
    <row r="32" spans="1:2" x14ac:dyDescent="0.3">
      <c r="A32" s="1" t="s">
        <v>201</v>
      </c>
      <c r="B32" s="7">
        <v>20</v>
      </c>
    </row>
    <row r="33" spans="1:2" x14ac:dyDescent="0.3">
      <c r="A33" s="1" t="s">
        <v>71</v>
      </c>
      <c r="B33" s="7">
        <v>45</v>
      </c>
    </row>
    <row r="34" spans="1:2" x14ac:dyDescent="0.3">
      <c r="A34" s="1" t="s">
        <v>196</v>
      </c>
      <c r="B34" s="7">
        <v>45</v>
      </c>
    </row>
    <row r="35" spans="1:2" x14ac:dyDescent="0.3">
      <c r="A35" s="1" t="s">
        <v>21</v>
      </c>
      <c r="B35" s="7">
        <v>15</v>
      </c>
    </row>
    <row r="36" spans="1:2" x14ac:dyDescent="0.3">
      <c r="A36" s="1" t="s">
        <v>171</v>
      </c>
      <c r="B36" s="7">
        <v>40</v>
      </c>
    </row>
    <row r="37" spans="1:2" x14ac:dyDescent="0.3">
      <c r="A37" s="1" t="s">
        <v>74</v>
      </c>
      <c r="B37" s="7">
        <v>20</v>
      </c>
    </row>
    <row r="38" spans="1:2" x14ac:dyDescent="0.3">
      <c r="A38" s="1" t="s">
        <v>81</v>
      </c>
      <c r="B38" s="7">
        <v>35</v>
      </c>
    </row>
    <row r="39" spans="1:2" x14ac:dyDescent="0.3">
      <c r="A39" s="1" t="s">
        <v>106</v>
      </c>
      <c r="B39" s="7">
        <v>30</v>
      </c>
    </row>
    <row r="40" spans="1:2" x14ac:dyDescent="0.3">
      <c r="A40" s="1" t="s">
        <v>118</v>
      </c>
      <c r="B40" s="7">
        <v>20</v>
      </c>
    </row>
    <row r="41" spans="1:2" x14ac:dyDescent="0.3">
      <c r="A41" s="1" t="s">
        <v>186</v>
      </c>
      <c r="B41" s="7">
        <v>35</v>
      </c>
    </row>
    <row r="42" spans="1:2" x14ac:dyDescent="0.3">
      <c r="A42" s="1" t="s">
        <v>39</v>
      </c>
      <c r="B42" s="7">
        <v>35</v>
      </c>
    </row>
    <row r="43" spans="1:2" x14ac:dyDescent="0.3">
      <c r="A43" s="1" t="s">
        <v>154</v>
      </c>
      <c r="B43" s="7">
        <v>12</v>
      </c>
    </row>
    <row r="44" spans="1:2" x14ac:dyDescent="0.3">
      <c r="A44" s="1" t="s">
        <v>164</v>
      </c>
      <c r="B44" s="7">
        <v>40</v>
      </c>
    </row>
    <row r="45" spans="1:2" x14ac:dyDescent="0.3">
      <c r="A45" s="1" t="s">
        <v>95</v>
      </c>
      <c r="B45" s="7">
        <v>10</v>
      </c>
    </row>
    <row r="46" spans="1:2" x14ac:dyDescent="0.3">
      <c r="A46" s="1" t="s">
        <v>17</v>
      </c>
      <c r="B46" s="7">
        <v>25</v>
      </c>
    </row>
    <row r="47" spans="1:2" x14ac:dyDescent="0.3">
      <c r="A47" s="1" t="s">
        <v>92</v>
      </c>
      <c r="B47" s="7">
        <v>25</v>
      </c>
    </row>
    <row r="48" spans="1:2" x14ac:dyDescent="0.3">
      <c r="A48" s="1" t="s">
        <v>102</v>
      </c>
      <c r="B48" s="7">
        <v>45</v>
      </c>
    </row>
    <row r="49" spans="1:2" x14ac:dyDescent="0.3">
      <c r="A49" s="1" t="s">
        <v>150</v>
      </c>
      <c r="B49" s="7">
        <v>30</v>
      </c>
    </row>
    <row r="50" spans="1:2" x14ac:dyDescent="0.3">
      <c r="A50" s="1" t="s">
        <v>140</v>
      </c>
      <c r="B50" s="7">
        <v>18</v>
      </c>
    </row>
    <row r="51" spans="1:2" x14ac:dyDescent="0.3">
      <c r="A51" s="1" t="s">
        <v>176</v>
      </c>
      <c r="B51" s="7">
        <v>20</v>
      </c>
    </row>
    <row r="52" spans="1:2" x14ac:dyDescent="0.3">
      <c r="A52" s="1" t="s">
        <v>110</v>
      </c>
      <c r="B52" s="7">
        <v>20</v>
      </c>
    </row>
    <row r="53" spans="1:2" x14ac:dyDescent="0.3">
      <c r="A53" s="1" t="s">
        <v>188</v>
      </c>
      <c r="B53" s="7">
        <v>45</v>
      </c>
    </row>
    <row r="54" spans="1:2" x14ac:dyDescent="0.3">
      <c r="A54" s="1" t="s">
        <v>190</v>
      </c>
      <c r="B54" s="7">
        <v>30</v>
      </c>
    </row>
    <row r="55" spans="1:2" x14ac:dyDescent="0.3">
      <c r="A55" s="1" t="s">
        <v>13</v>
      </c>
      <c r="B55" s="7">
        <v>30</v>
      </c>
    </row>
    <row r="56" spans="1:2" x14ac:dyDescent="0.3">
      <c r="A56" s="1" t="s">
        <v>174</v>
      </c>
      <c r="B56" s="7">
        <v>10</v>
      </c>
    </row>
    <row r="57" spans="1:2" x14ac:dyDescent="0.3">
      <c r="A57" s="1" t="s">
        <v>40</v>
      </c>
      <c r="B57" s="7">
        <v>12</v>
      </c>
    </row>
    <row r="58" spans="1:2" x14ac:dyDescent="0.3">
      <c r="A58" s="1" t="s">
        <v>87</v>
      </c>
      <c r="B58" s="7">
        <v>30</v>
      </c>
    </row>
    <row r="59" spans="1:2" x14ac:dyDescent="0.3">
      <c r="A59" s="1" t="s">
        <v>132</v>
      </c>
      <c r="B59" s="7">
        <v>45</v>
      </c>
    </row>
    <row r="60" spans="1:2" x14ac:dyDescent="0.3">
      <c r="A60" s="1" t="s">
        <v>178</v>
      </c>
      <c r="B60" s="7">
        <v>8</v>
      </c>
    </row>
    <row r="61" spans="1:2" x14ac:dyDescent="0.3">
      <c r="A61" s="1" t="s">
        <v>31</v>
      </c>
      <c r="B61" s="7">
        <v>40</v>
      </c>
    </row>
    <row r="62" spans="1:2" x14ac:dyDescent="0.3">
      <c r="A62" s="1" t="s">
        <v>91</v>
      </c>
      <c r="B62" s="7">
        <v>40</v>
      </c>
    </row>
    <row r="63" spans="1:2" x14ac:dyDescent="0.3">
      <c r="A63" s="1" t="s">
        <v>64</v>
      </c>
      <c r="B63" s="7">
        <v>25</v>
      </c>
    </row>
    <row r="64" spans="1:2" x14ac:dyDescent="0.3">
      <c r="A64" s="1" t="s">
        <v>192</v>
      </c>
      <c r="B64" s="7">
        <v>15</v>
      </c>
    </row>
    <row r="65" spans="1:2" x14ac:dyDescent="0.3">
      <c r="A65" s="1" t="s">
        <v>48</v>
      </c>
      <c r="B65" s="7">
        <v>25</v>
      </c>
    </row>
    <row r="66" spans="1:2" x14ac:dyDescent="0.3">
      <c r="A66" s="1" t="s">
        <v>146</v>
      </c>
      <c r="B66" s="7">
        <v>8</v>
      </c>
    </row>
    <row r="67" spans="1:2" x14ac:dyDescent="0.3">
      <c r="A67" s="1" t="s">
        <v>136</v>
      </c>
      <c r="B67" s="7">
        <v>25</v>
      </c>
    </row>
    <row r="68" spans="1:2" x14ac:dyDescent="0.3">
      <c r="A68" s="1" t="s">
        <v>181</v>
      </c>
      <c r="B68" s="7">
        <v>40</v>
      </c>
    </row>
    <row r="69" spans="1:2" x14ac:dyDescent="0.3">
      <c r="A69" s="1" t="s">
        <v>93</v>
      </c>
      <c r="B69" s="7">
        <v>20</v>
      </c>
    </row>
    <row r="70" spans="1:2" x14ac:dyDescent="0.3">
      <c r="A70" s="1" t="s">
        <v>28</v>
      </c>
      <c r="B70" s="7">
        <v>30</v>
      </c>
    </row>
    <row r="71" spans="1:2" x14ac:dyDescent="0.3">
      <c r="A71" s="1" t="s">
        <v>121</v>
      </c>
      <c r="B71" s="7">
        <v>40</v>
      </c>
    </row>
    <row r="72" spans="1:2" x14ac:dyDescent="0.3">
      <c r="A72" s="1" t="s">
        <v>205</v>
      </c>
      <c r="B72" s="7">
        <v>25</v>
      </c>
    </row>
    <row r="73" spans="1:2" x14ac:dyDescent="0.3">
      <c r="A73" s="1" t="s">
        <v>10</v>
      </c>
      <c r="B73" s="7">
        <v>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462A6-9744-4149-B7AA-B8F7577D6D7F}">
  <dimension ref="A3:B13"/>
  <sheetViews>
    <sheetView workbookViewId="0">
      <selection activeCell="A17" sqref="A17"/>
    </sheetView>
  </sheetViews>
  <sheetFormatPr defaultRowHeight="14.4" x14ac:dyDescent="0.3"/>
  <cols>
    <col min="1" max="1" width="19.44140625" bestFit="1" customWidth="1"/>
    <col min="2" max="2" width="16.88671875" bestFit="1" customWidth="1"/>
    <col min="3" max="3" width="12.33203125" bestFit="1" customWidth="1"/>
    <col min="4" max="4" width="7.88671875" bestFit="1" customWidth="1"/>
    <col min="5" max="6" width="11.33203125" bestFit="1" customWidth="1"/>
    <col min="7" max="7" width="16.33203125" bestFit="1" customWidth="1"/>
    <col min="8" max="8" width="15" bestFit="1" customWidth="1"/>
    <col min="9" max="9" width="22.44140625" bestFit="1" customWidth="1"/>
    <col min="10" max="10" width="11.109375" bestFit="1" customWidth="1"/>
    <col min="11" max="11" width="17.5546875" bestFit="1" customWidth="1"/>
    <col min="12" max="12" width="11.88671875" bestFit="1" customWidth="1"/>
    <col min="13" max="13" width="9.88671875" bestFit="1" customWidth="1"/>
    <col min="14" max="14" width="11.88671875" bestFit="1" customWidth="1"/>
    <col min="15" max="15" width="8.21875" bestFit="1" customWidth="1"/>
    <col min="16" max="16" width="9.88671875" bestFit="1" customWidth="1"/>
    <col min="17" max="17" width="6.6640625" bestFit="1" customWidth="1"/>
    <col min="18" max="18" width="17.44140625" bestFit="1" customWidth="1"/>
    <col min="19" max="19" width="7.6640625" bestFit="1" customWidth="1"/>
    <col min="20" max="20" width="12.33203125" bestFit="1" customWidth="1"/>
    <col min="21" max="21" width="11.21875" bestFit="1" customWidth="1"/>
    <col min="22" max="22" width="16.88671875" bestFit="1" customWidth="1"/>
    <col min="23" max="23" width="20" bestFit="1" customWidth="1"/>
    <col min="24" max="24" width="16.33203125" bestFit="1" customWidth="1"/>
    <col min="25" max="25" width="17.33203125" bestFit="1" customWidth="1"/>
    <col min="26" max="26" width="16.109375" bestFit="1" customWidth="1"/>
    <col min="27" max="27" width="21.6640625" bestFit="1" customWidth="1"/>
    <col min="28" max="28" width="12.88671875" bestFit="1" customWidth="1"/>
    <col min="29" max="29" width="11.5546875" bestFit="1" customWidth="1"/>
    <col min="30" max="30" width="15.6640625" bestFit="1" customWidth="1"/>
    <col min="31" max="31" width="8.44140625" bestFit="1" customWidth="1"/>
    <col min="32" max="32" width="10.77734375" bestFit="1" customWidth="1"/>
    <col min="33" max="33" width="14.21875" bestFit="1" customWidth="1"/>
    <col min="34" max="34" width="17.6640625" bestFit="1" customWidth="1"/>
    <col min="35" max="35" width="14.6640625" bestFit="1" customWidth="1"/>
    <col min="36" max="36" width="18.21875" bestFit="1" customWidth="1"/>
    <col min="37" max="37" width="9.33203125" bestFit="1" customWidth="1"/>
    <col min="38" max="38" width="13.33203125" bestFit="1" customWidth="1"/>
    <col min="39" max="39" width="13.109375" bestFit="1" customWidth="1"/>
    <col min="40" max="40" width="8.77734375" bestFit="1" customWidth="1"/>
    <col min="41" max="41" width="14.21875" bestFit="1" customWidth="1"/>
    <col min="42" max="42" width="15.6640625" bestFit="1" customWidth="1"/>
    <col min="43" max="43" width="7.88671875" bestFit="1" customWidth="1"/>
    <col min="44" max="44" width="10.6640625" bestFit="1" customWidth="1"/>
    <col min="45" max="45" width="12.21875" bestFit="1" customWidth="1"/>
    <col min="46" max="46" width="13.77734375" bestFit="1" customWidth="1"/>
    <col min="47" max="47" width="11.33203125" bestFit="1" customWidth="1"/>
    <col min="48" max="48" width="13.5546875" bestFit="1" customWidth="1"/>
    <col min="49" max="49" width="17" bestFit="1" customWidth="1"/>
    <col min="50" max="50" width="16.44140625" bestFit="1" customWidth="1"/>
    <col min="51" max="51" width="9.109375" bestFit="1" customWidth="1"/>
    <col min="52" max="52" width="9.21875" bestFit="1" customWidth="1"/>
    <col min="53" max="53" width="13.88671875" bestFit="1" customWidth="1"/>
    <col min="54" max="54" width="10.44140625" bestFit="1" customWidth="1"/>
    <col min="55" max="55" width="12.77734375" bestFit="1" customWidth="1"/>
    <col min="56" max="56" width="15.33203125" bestFit="1" customWidth="1"/>
    <col min="57" max="57" width="11" bestFit="1" customWidth="1"/>
    <col min="58" max="58" width="17.77734375" bestFit="1" customWidth="1"/>
    <col min="59" max="59" width="16.44140625" bestFit="1" customWidth="1"/>
    <col min="60" max="60" width="21.88671875" bestFit="1" customWidth="1"/>
    <col min="61" max="61" width="12.44140625" bestFit="1" customWidth="1"/>
    <col min="62" max="62" width="10.44140625" bestFit="1" customWidth="1"/>
    <col min="63" max="63" width="9.109375" bestFit="1" customWidth="1"/>
    <col min="64" max="64" width="13.33203125" bestFit="1" customWidth="1"/>
    <col min="65" max="65" width="10.21875" bestFit="1" customWidth="1"/>
    <col min="66" max="66" width="10.88671875" bestFit="1" customWidth="1"/>
    <col min="67" max="67" width="11.21875" bestFit="1" customWidth="1"/>
    <col min="68" max="68" width="11.6640625" bestFit="1" customWidth="1"/>
    <col min="69" max="69" width="11.33203125" bestFit="1" customWidth="1"/>
    <col min="70" max="70" width="16.77734375" bestFit="1" customWidth="1"/>
    <col min="71" max="71" width="14.44140625" bestFit="1" customWidth="1"/>
    <col min="72" max="72" width="11.5546875" bestFit="1" customWidth="1"/>
    <col min="73" max="73" width="14.21875" bestFit="1" customWidth="1"/>
    <col min="74" max="74" width="11.5546875" bestFit="1" customWidth="1"/>
    <col min="75" max="75" width="18.5546875" bestFit="1" customWidth="1"/>
    <col min="76" max="76" width="20.6640625" bestFit="1" customWidth="1"/>
    <col min="77" max="77" width="10" bestFit="1" customWidth="1"/>
    <col min="78" max="78" width="15.21875" bestFit="1" customWidth="1"/>
    <col min="79" max="79" width="15" bestFit="1" customWidth="1"/>
    <col min="80" max="80" width="11.33203125" bestFit="1" customWidth="1"/>
    <col min="81" max="81" width="10.33203125" bestFit="1" customWidth="1"/>
    <col min="82" max="82" width="11.77734375" bestFit="1" customWidth="1"/>
    <col min="83" max="83" width="12.5546875" bestFit="1" customWidth="1"/>
    <col min="84" max="84" width="12" bestFit="1" customWidth="1"/>
    <col min="85" max="85" width="10.77734375" bestFit="1" customWidth="1"/>
    <col min="86" max="86" width="10" bestFit="1" customWidth="1"/>
    <col min="87" max="87" width="14.88671875" bestFit="1" customWidth="1"/>
    <col min="88" max="88" width="17" bestFit="1" customWidth="1"/>
    <col min="89" max="89" width="14.77734375" bestFit="1" customWidth="1"/>
    <col min="90" max="90" width="14.21875" bestFit="1" customWidth="1"/>
    <col min="91" max="91" width="7.6640625" bestFit="1" customWidth="1"/>
    <col min="92" max="92" width="11" bestFit="1" customWidth="1"/>
    <col min="93" max="93" width="15.44140625" bestFit="1" customWidth="1"/>
    <col min="94" max="94" width="17" bestFit="1" customWidth="1"/>
    <col min="95" max="95" width="12.6640625" bestFit="1" customWidth="1"/>
    <col min="96" max="96" width="12" bestFit="1" customWidth="1"/>
    <col min="97" max="97" width="10.88671875" bestFit="1" customWidth="1"/>
    <col min="98" max="98" width="13.33203125" bestFit="1" customWidth="1"/>
    <col min="99" max="99" width="13.6640625" bestFit="1" customWidth="1"/>
    <col min="101" max="101" width="14.88671875" bestFit="1" customWidth="1"/>
    <col min="102" max="102" width="11.21875" bestFit="1" customWidth="1"/>
    <col min="103" max="103" width="10.77734375" bestFit="1" customWidth="1"/>
    <col min="104" max="104" width="14.109375" bestFit="1" customWidth="1"/>
    <col min="105" max="105" width="16.21875" bestFit="1" customWidth="1"/>
    <col min="106" max="106" width="16" bestFit="1" customWidth="1"/>
    <col min="107" max="107" width="16.109375" bestFit="1" customWidth="1"/>
    <col min="108" max="108" width="15" bestFit="1" customWidth="1"/>
    <col min="109" max="109" width="11.109375" bestFit="1" customWidth="1"/>
    <col min="110" max="110" width="14.21875" bestFit="1" customWidth="1"/>
    <col min="111" max="111" width="7.77734375" bestFit="1" customWidth="1"/>
    <col min="112" max="112" width="18.33203125" bestFit="1" customWidth="1"/>
    <col min="113" max="113" width="12.88671875" bestFit="1" customWidth="1"/>
    <col min="114" max="114" width="15.109375" bestFit="1" customWidth="1"/>
    <col min="115" max="115" width="11.44140625" bestFit="1" customWidth="1"/>
    <col min="116" max="116" width="14.88671875" bestFit="1" customWidth="1"/>
    <col min="117" max="117" width="9.77734375" bestFit="1" customWidth="1"/>
    <col min="118" max="118" width="10.44140625" bestFit="1" customWidth="1"/>
    <col min="119" max="119" width="17.5546875" bestFit="1" customWidth="1"/>
    <col min="120" max="120" width="14" bestFit="1" customWidth="1"/>
    <col min="121" max="121" width="11.21875" bestFit="1" customWidth="1"/>
    <col min="122" max="122" width="12.21875" bestFit="1" customWidth="1"/>
    <col min="123" max="123" width="15.21875" bestFit="1" customWidth="1"/>
    <col min="124" max="124" width="12.6640625" bestFit="1" customWidth="1"/>
    <col min="125" max="125" width="16.109375" bestFit="1" customWidth="1"/>
    <col min="126" max="126" width="8.44140625" bestFit="1" customWidth="1"/>
    <col min="127" max="127" width="9" bestFit="1" customWidth="1"/>
    <col min="128" max="128" width="14.5546875" bestFit="1" customWidth="1"/>
    <col min="129" max="129" width="11.5546875" bestFit="1" customWidth="1"/>
    <col min="130" max="130" width="21.33203125" bestFit="1" customWidth="1"/>
    <col min="131" max="131" width="18.33203125" bestFit="1" customWidth="1"/>
    <col min="132" max="132" width="9.44140625" bestFit="1" customWidth="1"/>
    <col min="133" max="133" width="11.88671875" bestFit="1" customWidth="1"/>
    <col min="134" max="134" width="14.77734375" bestFit="1" customWidth="1"/>
    <col min="135" max="135" width="12.44140625" bestFit="1" customWidth="1"/>
    <col min="136" max="136" width="12.77734375" bestFit="1" customWidth="1"/>
    <col min="137" max="137" width="15.6640625" bestFit="1" customWidth="1"/>
    <col min="139" max="139" width="12.88671875" bestFit="1" customWidth="1"/>
    <col min="140" max="140" width="13.33203125" bestFit="1" customWidth="1"/>
    <col min="141" max="141" width="12" bestFit="1" customWidth="1"/>
    <col min="142" max="142" width="8" bestFit="1" customWidth="1"/>
    <col min="143" max="143" width="13.88671875" bestFit="1" customWidth="1"/>
    <col min="144" max="144" width="7.77734375" bestFit="1" customWidth="1"/>
    <col min="145" max="145" width="13.6640625" bestFit="1" customWidth="1"/>
    <col min="147" max="147" width="12.88671875" bestFit="1" customWidth="1"/>
    <col min="148" max="148" width="10.6640625" bestFit="1" customWidth="1"/>
    <col min="149" max="149" width="10.88671875" bestFit="1" customWidth="1"/>
    <col min="150" max="150" width="10.5546875" bestFit="1" customWidth="1"/>
    <col min="151" max="151" width="11.5546875" bestFit="1" customWidth="1"/>
    <col min="152" max="152" width="10.21875" bestFit="1" customWidth="1"/>
    <col min="153" max="153" width="10" bestFit="1" customWidth="1"/>
    <col min="154" max="154" width="15.77734375" bestFit="1" customWidth="1"/>
    <col min="155" max="155" width="12" bestFit="1" customWidth="1"/>
    <col min="156" max="156" width="10.33203125" bestFit="1" customWidth="1"/>
    <col min="157" max="157" width="10.77734375" bestFit="1" customWidth="1"/>
    <col min="158" max="158" width="12.44140625" bestFit="1" customWidth="1"/>
    <col min="159" max="159" width="15.109375" bestFit="1" customWidth="1"/>
    <col min="160" max="160" width="9.44140625" bestFit="1" customWidth="1"/>
    <col min="161" max="161" width="7.109375" bestFit="1" customWidth="1"/>
    <col min="162" max="162" width="11.44140625" bestFit="1" customWidth="1"/>
    <col min="163" max="163" width="9.88671875" bestFit="1" customWidth="1"/>
    <col min="164" max="164" width="11.21875" bestFit="1" customWidth="1"/>
    <col min="165" max="165" width="11.77734375" bestFit="1" customWidth="1"/>
    <col min="166" max="166" width="13.88671875" bestFit="1" customWidth="1"/>
    <col min="167" max="167" width="10.21875" bestFit="1" customWidth="1"/>
    <col min="168" max="168" width="16.77734375" bestFit="1" customWidth="1"/>
    <col min="169" max="169" width="8.77734375" bestFit="1" customWidth="1"/>
    <col min="170" max="170" width="11.44140625" bestFit="1" customWidth="1"/>
    <col min="171" max="171" width="12.44140625" bestFit="1" customWidth="1"/>
    <col min="172" max="172" width="7.109375" bestFit="1" customWidth="1"/>
    <col min="173" max="173" width="12.6640625" bestFit="1" customWidth="1"/>
    <col min="174" max="174" width="16.109375" bestFit="1" customWidth="1"/>
    <col min="175" max="175" width="9" bestFit="1" customWidth="1"/>
    <col min="176" max="176" width="25.77734375" bestFit="1" customWidth="1"/>
    <col min="177" max="177" width="20.21875" bestFit="1" customWidth="1"/>
    <col min="178" max="178" width="10.109375" bestFit="1" customWidth="1"/>
    <col min="179" max="179" width="19.33203125" bestFit="1" customWidth="1"/>
    <col min="180" max="180" width="11.5546875" bestFit="1" customWidth="1"/>
    <col min="181" max="181" width="12.6640625" bestFit="1" customWidth="1"/>
    <col min="182" max="182" width="9.88671875" bestFit="1" customWidth="1"/>
    <col min="183" max="183" width="10.109375" bestFit="1" customWidth="1"/>
    <col min="184" max="184" width="13.44140625" bestFit="1" customWidth="1"/>
    <col min="185" max="185" width="21" bestFit="1" customWidth="1"/>
    <col min="186" max="186" width="15.33203125" bestFit="1" customWidth="1"/>
    <col min="187" max="187" width="12.21875" bestFit="1" customWidth="1"/>
    <col min="188" max="188" width="14.5546875" bestFit="1" customWidth="1"/>
    <col min="189" max="189" width="18" bestFit="1" customWidth="1"/>
    <col min="190" max="190" width="13.77734375" bestFit="1" customWidth="1"/>
    <col min="191" max="191" width="11.21875" bestFit="1" customWidth="1"/>
    <col min="192" max="192" width="11.77734375" bestFit="1" customWidth="1"/>
    <col min="193" max="193" width="17" bestFit="1" customWidth="1"/>
    <col min="194" max="194" width="12.21875" bestFit="1" customWidth="1"/>
    <col min="195" max="195" width="15.77734375" bestFit="1" customWidth="1"/>
    <col min="196" max="196" width="15.44140625" bestFit="1" customWidth="1"/>
    <col min="197" max="197" width="14" bestFit="1" customWidth="1"/>
    <col min="198" max="198" width="12.33203125" bestFit="1" customWidth="1"/>
    <col min="199" max="199" width="10.33203125" bestFit="1" customWidth="1"/>
    <col min="200" max="200" width="9.88671875" bestFit="1" customWidth="1"/>
    <col min="201" max="201" width="8.33203125" bestFit="1" customWidth="1"/>
    <col min="202" max="202" width="10.5546875" bestFit="1" customWidth="1"/>
  </cols>
  <sheetData>
    <row r="3" spans="1:2" x14ac:dyDescent="0.3">
      <c r="A3" s="8" t="s">
        <v>216</v>
      </c>
      <c r="B3" t="s">
        <v>214</v>
      </c>
    </row>
    <row r="4" spans="1:2" x14ac:dyDescent="0.3">
      <c r="A4" s="1" t="s">
        <v>8</v>
      </c>
      <c r="B4" s="7">
        <v>3747</v>
      </c>
    </row>
    <row r="5" spans="1:2" x14ac:dyDescent="0.3">
      <c r="A5" s="1" t="s">
        <v>14</v>
      </c>
      <c r="B5" s="7">
        <v>4895</v>
      </c>
    </row>
    <row r="6" spans="1:2" x14ac:dyDescent="0.3">
      <c r="A6" s="1" t="s">
        <v>4</v>
      </c>
      <c r="B6" s="7">
        <v>3000</v>
      </c>
    </row>
    <row r="7" spans="1:2" x14ac:dyDescent="0.3">
      <c r="A7" s="1" t="s">
        <v>145</v>
      </c>
      <c r="B7" s="7">
        <v>3150</v>
      </c>
    </row>
    <row r="8" spans="1:2" x14ac:dyDescent="0.3">
      <c r="A8" s="1" t="s">
        <v>38</v>
      </c>
      <c r="B8" s="7">
        <v>3850</v>
      </c>
    </row>
    <row r="9" spans="1:2" x14ac:dyDescent="0.3">
      <c r="A9" s="1" t="s">
        <v>106</v>
      </c>
      <c r="B9" s="7">
        <v>4470</v>
      </c>
    </row>
    <row r="10" spans="1:2" x14ac:dyDescent="0.3">
      <c r="A10" s="1" t="s">
        <v>36</v>
      </c>
      <c r="B10" s="7">
        <v>2998</v>
      </c>
    </row>
    <row r="11" spans="1:2" x14ac:dyDescent="0.3">
      <c r="A11" s="1" t="s">
        <v>94</v>
      </c>
      <c r="B11" s="7">
        <v>3600</v>
      </c>
    </row>
    <row r="12" spans="1:2" x14ac:dyDescent="0.3">
      <c r="A12" s="1" t="s">
        <v>79</v>
      </c>
      <c r="B12" s="7">
        <v>5400</v>
      </c>
    </row>
    <row r="13" spans="1:2" x14ac:dyDescent="0.3">
      <c r="A13" s="1" t="s">
        <v>2</v>
      </c>
      <c r="B13" s="7">
        <v>3060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1F0E3-2FB0-4C5F-8F22-274B5176A5B3}">
  <dimension ref="A1:G201"/>
  <sheetViews>
    <sheetView workbookViewId="0">
      <selection activeCell="I8" sqref="I8"/>
    </sheetView>
  </sheetViews>
  <sheetFormatPr defaultRowHeight="14.4" x14ac:dyDescent="0.3"/>
  <cols>
    <col min="1" max="1" width="12.21875" bestFit="1" customWidth="1"/>
    <col min="2" max="2" width="24.33203125" bestFit="1" customWidth="1"/>
    <col min="3" max="3" width="13.88671875" bestFit="1" customWidth="1"/>
    <col min="4" max="4" width="7.5546875" bestFit="1" customWidth="1"/>
    <col min="5" max="5" width="16" bestFit="1" customWidth="1"/>
    <col min="6" max="6" width="13" bestFit="1" customWidth="1"/>
    <col min="7" max="7" width="12.6640625" bestFit="1" customWidth="1"/>
  </cols>
  <sheetData>
    <row r="1" spans="1:7" x14ac:dyDescent="0.3">
      <c r="A1" s="3" t="s">
        <v>206</v>
      </c>
      <c r="B1" s="3" t="s">
        <v>207</v>
      </c>
      <c r="C1" s="3" t="s">
        <v>208</v>
      </c>
      <c r="D1" s="3" t="s">
        <v>209</v>
      </c>
      <c r="E1" s="3" t="s">
        <v>210</v>
      </c>
      <c r="F1" s="6" t="s">
        <v>211</v>
      </c>
      <c r="G1" s="6" t="s">
        <v>212</v>
      </c>
    </row>
    <row r="2" spans="1:7" x14ac:dyDescent="0.3">
      <c r="A2" s="4">
        <v>1</v>
      </c>
      <c r="B2" s="5" t="s">
        <v>0</v>
      </c>
      <c r="C2" s="5" t="s">
        <v>1</v>
      </c>
      <c r="D2" s="4">
        <v>0.99</v>
      </c>
      <c r="E2" s="4">
        <v>500</v>
      </c>
      <c r="F2" s="2">
        <f>Table1[[#This Row],[Price]]*Table1[[#This Row],[Stock_Quantity]]</f>
        <v>495</v>
      </c>
      <c r="G2" s="2" t="str">
        <f>IF(Table1[[#This Row],[Stock_Quantity]]&lt;50,"Low",IF(Table1[[#This Row],[Stock_Quantity]]&lt;=150,"Medium","High"))</f>
        <v>High</v>
      </c>
    </row>
    <row r="3" spans="1:7" x14ac:dyDescent="0.3">
      <c r="A3" s="4">
        <v>2</v>
      </c>
      <c r="B3" s="5" t="s">
        <v>2</v>
      </c>
      <c r="C3" s="5" t="s">
        <v>3</v>
      </c>
      <c r="D3" s="4">
        <v>25.5</v>
      </c>
      <c r="E3" s="4">
        <v>120</v>
      </c>
      <c r="F3" s="2">
        <f>Table1[[#This Row],[Price]]*Table1[[#This Row],[Stock_Quantity]]</f>
        <v>3060</v>
      </c>
      <c r="G3" s="2" t="str">
        <f>IF(Table1[[#This Row],[Stock_Quantity]]&lt;50,"Low",IF(Table1[[#This Row],[Stock_Quantity]]&lt;=150,"Medium","High"))</f>
        <v>Medium</v>
      </c>
    </row>
    <row r="4" spans="1:7" x14ac:dyDescent="0.3">
      <c r="A4" s="4">
        <v>3</v>
      </c>
      <c r="B4" s="5" t="s">
        <v>4</v>
      </c>
      <c r="C4" s="5" t="s">
        <v>5</v>
      </c>
      <c r="D4" s="4">
        <v>15</v>
      </c>
      <c r="E4" s="4">
        <v>200</v>
      </c>
      <c r="F4" s="2">
        <f>Table1[[#This Row],[Price]]*Table1[[#This Row],[Stock_Quantity]]</f>
        <v>3000</v>
      </c>
      <c r="G4" s="2" t="str">
        <f>IF(Table1[[#This Row],[Stock_Quantity]]&lt;50,"Low",IF(Table1[[#This Row],[Stock_Quantity]]&lt;=150,"Medium","High"))</f>
        <v>High</v>
      </c>
    </row>
    <row r="5" spans="1:7" x14ac:dyDescent="0.3">
      <c r="A5" s="4">
        <v>4</v>
      </c>
      <c r="B5" s="5" t="s">
        <v>6</v>
      </c>
      <c r="C5" s="5" t="s">
        <v>7</v>
      </c>
      <c r="D5" s="4">
        <v>8.99</v>
      </c>
      <c r="E5" s="4">
        <v>75</v>
      </c>
      <c r="F5" s="2">
        <f>Table1[[#This Row],[Price]]*Table1[[#This Row],[Stock_Quantity]]</f>
        <v>674.25</v>
      </c>
      <c r="G5" s="2" t="str">
        <f>IF(Table1[[#This Row],[Stock_Quantity]]&lt;50,"Low",IF(Table1[[#This Row],[Stock_Quantity]]&lt;=150,"Medium","High"))</f>
        <v>Medium</v>
      </c>
    </row>
    <row r="6" spans="1:7" x14ac:dyDescent="0.3">
      <c r="A6" s="4">
        <v>5</v>
      </c>
      <c r="B6" s="5" t="s">
        <v>8</v>
      </c>
      <c r="C6" s="5" t="s">
        <v>3</v>
      </c>
      <c r="D6" s="4">
        <v>12.49</v>
      </c>
      <c r="E6" s="4">
        <v>300</v>
      </c>
      <c r="F6" s="2">
        <f>Table1[[#This Row],[Price]]*Table1[[#This Row],[Stock_Quantity]]</f>
        <v>3747</v>
      </c>
      <c r="G6" s="2" t="str">
        <f>IF(Table1[[#This Row],[Stock_Quantity]]&lt;50,"Low",IF(Table1[[#This Row],[Stock_Quantity]]&lt;=150,"Medium","High"))</f>
        <v>High</v>
      </c>
    </row>
    <row r="7" spans="1:7" x14ac:dyDescent="0.3">
      <c r="A7" s="4">
        <v>6</v>
      </c>
      <c r="B7" s="5" t="s">
        <v>9</v>
      </c>
      <c r="C7" s="5" t="s">
        <v>1</v>
      </c>
      <c r="D7" s="4">
        <v>1.8</v>
      </c>
      <c r="E7" s="4">
        <v>150</v>
      </c>
      <c r="F7" s="2">
        <f>Table1[[#This Row],[Price]]*Table1[[#This Row],[Stock_Quantity]]</f>
        <v>270</v>
      </c>
      <c r="G7" s="2" t="str">
        <f>IF(Table1[[#This Row],[Stock_Quantity]]&lt;50,"Low",IF(Table1[[#This Row],[Stock_Quantity]]&lt;=150,"Medium","High"))</f>
        <v>Medium</v>
      </c>
    </row>
    <row r="8" spans="1:7" x14ac:dyDescent="0.3">
      <c r="A8" s="4">
        <v>7</v>
      </c>
      <c r="B8" s="5" t="s">
        <v>10</v>
      </c>
      <c r="C8" s="5" t="s">
        <v>11</v>
      </c>
      <c r="D8" s="4">
        <v>29.99</v>
      </c>
      <c r="E8" s="4">
        <v>40</v>
      </c>
      <c r="F8" s="2">
        <f>Table1[[#This Row],[Price]]*Table1[[#This Row],[Stock_Quantity]]</f>
        <v>1199.5999999999999</v>
      </c>
      <c r="G8" s="2" t="str">
        <f>IF(Table1[[#This Row],[Stock_Quantity]]&lt;50,"Low",IF(Table1[[#This Row],[Stock_Quantity]]&lt;=150,"Medium","High"))</f>
        <v>Low</v>
      </c>
    </row>
    <row r="9" spans="1:7" x14ac:dyDescent="0.3">
      <c r="A9" s="4">
        <v>8</v>
      </c>
      <c r="B9" s="5" t="s">
        <v>12</v>
      </c>
      <c r="C9" s="5" t="s">
        <v>7</v>
      </c>
      <c r="D9" s="4">
        <v>34</v>
      </c>
      <c r="E9" s="4">
        <v>60</v>
      </c>
      <c r="F9" s="2">
        <f>Table1[[#This Row],[Price]]*Table1[[#This Row],[Stock_Quantity]]</f>
        <v>2040</v>
      </c>
      <c r="G9" s="2" t="str">
        <f>IF(Table1[[#This Row],[Stock_Quantity]]&lt;50,"Low",IF(Table1[[#This Row],[Stock_Quantity]]&lt;=150,"Medium","High"))</f>
        <v>Medium</v>
      </c>
    </row>
    <row r="10" spans="1:7" x14ac:dyDescent="0.3">
      <c r="A10" s="4">
        <v>9</v>
      </c>
      <c r="B10" s="5" t="s">
        <v>13</v>
      </c>
      <c r="C10" s="5" t="s">
        <v>1</v>
      </c>
      <c r="D10" s="4">
        <v>4.5</v>
      </c>
      <c r="E10" s="4">
        <v>30</v>
      </c>
      <c r="F10" s="2">
        <f>Table1[[#This Row],[Price]]*Table1[[#This Row],[Stock_Quantity]]</f>
        <v>135</v>
      </c>
      <c r="G10" s="2" t="str">
        <f>IF(Table1[[#This Row],[Stock_Quantity]]&lt;50,"Low",IF(Table1[[#This Row],[Stock_Quantity]]&lt;=150,"Medium","High"))</f>
        <v>Low</v>
      </c>
    </row>
    <row r="11" spans="1:7" x14ac:dyDescent="0.3">
      <c r="A11" s="4">
        <v>10</v>
      </c>
      <c r="B11" s="5" t="s">
        <v>14</v>
      </c>
      <c r="C11" s="5" t="s">
        <v>3</v>
      </c>
      <c r="D11" s="4">
        <v>89</v>
      </c>
      <c r="E11" s="4">
        <v>55</v>
      </c>
      <c r="F11" s="2">
        <f>Table1[[#This Row],[Price]]*Table1[[#This Row],[Stock_Quantity]]</f>
        <v>4895</v>
      </c>
      <c r="G11" s="2" t="str">
        <f>IF(Table1[[#This Row],[Stock_Quantity]]&lt;50,"Low",IF(Table1[[#This Row],[Stock_Quantity]]&lt;=150,"Medium","High"))</f>
        <v>Medium</v>
      </c>
    </row>
    <row r="12" spans="1:7" x14ac:dyDescent="0.3">
      <c r="A12" s="4">
        <v>11</v>
      </c>
      <c r="B12" s="5" t="s">
        <v>15</v>
      </c>
      <c r="C12" s="5" t="s">
        <v>1</v>
      </c>
      <c r="D12" s="4">
        <v>12</v>
      </c>
      <c r="E12" s="4">
        <v>90</v>
      </c>
      <c r="F12" s="2">
        <f>Table1[[#This Row],[Price]]*Table1[[#This Row],[Stock_Quantity]]</f>
        <v>1080</v>
      </c>
      <c r="G12" s="2" t="str">
        <f>IF(Table1[[#This Row],[Stock_Quantity]]&lt;50,"Low",IF(Table1[[#This Row],[Stock_Quantity]]&lt;=150,"Medium","High"))</f>
        <v>Medium</v>
      </c>
    </row>
    <row r="13" spans="1:7" x14ac:dyDescent="0.3">
      <c r="A13" s="4">
        <v>12</v>
      </c>
      <c r="B13" s="5" t="s">
        <v>16</v>
      </c>
      <c r="C13" s="5" t="s">
        <v>7</v>
      </c>
      <c r="D13" s="4">
        <v>5.5</v>
      </c>
      <c r="E13" s="4">
        <v>110</v>
      </c>
      <c r="F13" s="2">
        <f>Table1[[#This Row],[Price]]*Table1[[#This Row],[Stock_Quantity]]</f>
        <v>605</v>
      </c>
      <c r="G13" s="2" t="str">
        <f>IF(Table1[[#This Row],[Stock_Quantity]]&lt;50,"Low",IF(Table1[[#This Row],[Stock_Quantity]]&lt;=150,"Medium","High"))</f>
        <v>Medium</v>
      </c>
    </row>
    <row r="14" spans="1:7" x14ac:dyDescent="0.3">
      <c r="A14" s="4">
        <v>13</v>
      </c>
      <c r="B14" s="5" t="s">
        <v>17</v>
      </c>
      <c r="C14" s="5" t="s">
        <v>11</v>
      </c>
      <c r="D14" s="4">
        <v>75</v>
      </c>
      <c r="E14" s="4">
        <v>25</v>
      </c>
      <c r="F14" s="2">
        <f>Table1[[#This Row],[Price]]*Table1[[#This Row],[Stock_Quantity]]</f>
        <v>1875</v>
      </c>
      <c r="G14" s="2" t="str">
        <f>IF(Table1[[#This Row],[Stock_Quantity]]&lt;50,"Low",IF(Table1[[#This Row],[Stock_Quantity]]&lt;=150,"Medium","High"))</f>
        <v>Low</v>
      </c>
    </row>
    <row r="15" spans="1:7" x14ac:dyDescent="0.3">
      <c r="A15" s="4">
        <v>14</v>
      </c>
      <c r="B15" s="5" t="s">
        <v>18</v>
      </c>
      <c r="C15" s="5" t="s">
        <v>19</v>
      </c>
      <c r="D15" s="4">
        <v>3.99</v>
      </c>
      <c r="E15" s="4">
        <v>400</v>
      </c>
      <c r="F15" s="2">
        <f>Table1[[#This Row],[Price]]*Table1[[#This Row],[Stock_Quantity]]</f>
        <v>1596</v>
      </c>
      <c r="G15" s="2" t="str">
        <f>IF(Table1[[#This Row],[Stock_Quantity]]&lt;50,"Low",IF(Table1[[#This Row],[Stock_Quantity]]&lt;=150,"Medium","High"))</f>
        <v>High</v>
      </c>
    </row>
    <row r="16" spans="1:7" x14ac:dyDescent="0.3">
      <c r="A16" s="4">
        <v>15</v>
      </c>
      <c r="B16" s="5" t="s">
        <v>20</v>
      </c>
      <c r="C16" s="5" t="s">
        <v>19</v>
      </c>
      <c r="D16" s="4">
        <v>0.5</v>
      </c>
      <c r="E16" s="4">
        <v>1000</v>
      </c>
      <c r="F16" s="2">
        <f>Table1[[#This Row],[Price]]*Table1[[#This Row],[Stock_Quantity]]</f>
        <v>500</v>
      </c>
      <c r="G16" s="2" t="str">
        <f>IF(Table1[[#This Row],[Stock_Quantity]]&lt;50,"Low",IF(Table1[[#This Row],[Stock_Quantity]]&lt;=150,"Medium","High"))</f>
        <v>High</v>
      </c>
    </row>
    <row r="17" spans="1:7" x14ac:dyDescent="0.3">
      <c r="A17" s="4">
        <v>16</v>
      </c>
      <c r="B17" s="5" t="s">
        <v>21</v>
      </c>
      <c r="C17" s="5" t="s">
        <v>3</v>
      </c>
      <c r="D17" s="4">
        <v>45</v>
      </c>
      <c r="E17" s="4">
        <v>15</v>
      </c>
      <c r="F17" s="2">
        <f>Table1[[#This Row],[Price]]*Table1[[#This Row],[Stock_Quantity]]</f>
        <v>675</v>
      </c>
      <c r="G17" s="2" t="str">
        <f>IF(Table1[[#This Row],[Stock_Quantity]]&lt;50,"Low",IF(Table1[[#This Row],[Stock_Quantity]]&lt;=150,"Medium","High"))</f>
        <v>Low</v>
      </c>
    </row>
    <row r="18" spans="1:7" x14ac:dyDescent="0.3">
      <c r="A18" s="4">
        <v>17</v>
      </c>
      <c r="B18" s="5" t="s">
        <v>22</v>
      </c>
      <c r="C18" s="5" t="s">
        <v>1</v>
      </c>
      <c r="D18" s="4">
        <v>1.25</v>
      </c>
      <c r="E18" s="4">
        <v>80</v>
      </c>
      <c r="F18" s="2">
        <f>Table1[[#This Row],[Price]]*Table1[[#This Row],[Stock_Quantity]]</f>
        <v>100</v>
      </c>
      <c r="G18" s="2" t="str">
        <f>IF(Table1[[#This Row],[Stock_Quantity]]&lt;50,"Low",IF(Table1[[#This Row],[Stock_Quantity]]&lt;=150,"Medium","High"))</f>
        <v>Medium</v>
      </c>
    </row>
    <row r="19" spans="1:7" x14ac:dyDescent="0.3">
      <c r="A19" s="4">
        <v>18</v>
      </c>
      <c r="B19" s="5" t="s">
        <v>23</v>
      </c>
      <c r="C19" s="5" t="s">
        <v>5</v>
      </c>
      <c r="D19" s="4">
        <v>45.99</v>
      </c>
      <c r="E19" s="4">
        <v>65</v>
      </c>
      <c r="F19" s="2">
        <f>Table1[[#This Row],[Price]]*Table1[[#This Row],[Stock_Quantity]]</f>
        <v>2989.35</v>
      </c>
      <c r="G19" s="2" t="str">
        <f>IF(Table1[[#This Row],[Stock_Quantity]]&lt;50,"Low",IF(Table1[[#This Row],[Stock_Quantity]]&lt;=150,"Medium","High"))</f>
        <v>Medium</v>
      </c>
    </row>
    <row r="20" spans="1:7" x14ac:dyDescent="0.3">
      <c r="A20" s="4">
        <v>19</v>
      </c>
      <c r="B20" s="5" t="s">
        <v>24</v>
      </c>
      <c r="C20" s="5" t="s">
        <v>7</v>
      </c>
      <c r="D20" s="4">
        <v>40</v>
      </c>
      <c r="E20" s="4">
        <v>20</v>
      </c>
      <c r="F20" s="2">
        <f>Table1[[#This Row],[Price]]*Table1[[#This Row],[Stock_Quantity]]</f>
        <v>800</v>
      </c>
      <c r="G20" s="2" t="str">
        <f>IF(Table1[[#This Row],[Stock_Quantity]]&lt;50,"Low",IF(Table1[[#This Row],[Stock_Quantity]]&lt;=150,"Medium","High"))</f>
        <v>Low</v>
      </c>
    </row>
    <row r="21" spans="1:7" x14ac:dyDescent="0.3">
      <c r="A21" s="4">
        <v>20</v>
      </c>
      <c r="B21" s="5" t="s">
        <v>25</v>
      </c>
      <c r="C21" s="5" t="s">
        <v>11</v>
      </c>
      <c r="D21" s="4">
        <v>15</v>
      </c>
      <c r="E21" s="4">
        <v>50</v>
      </c>
      <c r="F21" s="2">
        <f>Table1[[#This Row],[Price]]*Table1[[#This Row],[Stock_Quantity]]</f>
        <v>750</v>
      </c>
      <c r="G21" s="2" t="str">
        <f>IF(Table1[[#This Row],[Stock_Quantity]]&lt;50,"Low",IF(Table1[[#This Row],[Stock_Quantity]]&lt;=150,"Medium","High"))</f>
        <v>Medium</v>
      </c>
    </row>
    <row r="22" spans="1:7" x14ac:dyDescent="0.3">
      <c r="A22" s="4">
        <v>21</v>
      </c>
      <c r="B22" s="5" t="s">
        <v>26</v>
      </c>
      <c r="C22" s="5" t="s">
        <v>3</v>
      </c>
      <c r="D22" s="4">
        <v>10.99</v>
      </c>
      <c r="E22" s="4">
        <v>150</v>
      </c>
      <c r="F22" s="2">
        <f>Table1[[#This Row],[Price]]*Table1[[#This Row],[Stock_Quantity]]</f>
        <v>1648.5</v>
      </c>
      <c r="G22" s="2" t="str">
        <f>IF(Table1[[#This Row],[Stock_Quantity]]&lt;50,"Low",IF(Table1[[#This Row],[Stock_Quantity]]&lt;=150,"Medium","High"))</f>
        <v>Medium</v>
      </c>
    </row>
    <row r="23" spans="1:7" x14ac:dyDescent="0.3">
      <c r="A23" s="4">
        <v>22</v>
      </c>
      <c r="B23" s="5" t="s">
        <v>27</v>
      </c>
      <c r="C23" s="5" t="s">
        <v>1</v>
      </c>
      <c r="D23" s="4">
        <v>1.5</v>
      </c>
      <c r="E23" s="4">
        <v>120</v>
      </c>
      <c r="F23" s="2">
        <f>Table1[[#This Row],[Price]]*Table1[[#This Row],[Stock_Quantity]]</f>
        <v>180</v>
      </c>
      <c r="G23" s="2" t="str">
        <f>IF(Table1[[#This Row],[Stock_Quantity]]&lt;50,"Low",IF(Table1[[#This Row],[Stock_Quantity]]&lt;=150,"Medium","High"))</f>
        <v>Medium</v>
      </c>
    </row>
    <row r="24" spans="1:7" x14ac:dyDescent="0.3">
      <c r="A24" s="4">
        <v>23</v>
      </c>
      <c r="B24" s="5" t="s">
        <v>28</v>
      </c>
      <c r="C24" s="5" t="s">
        <v>5</v>
      </c>
      <c r="D24" s="4">
        <v>85</v>
      </c>
      <c r="E24" s="4">
        <v>30</v>
      </c>
      <c r="F24" s="2">
        <f>Table1[[#This Row],[Price]]*Table1[[#This Row],[Stock_Quantity]]</f>
        <v>2550</v>
      </c>
      <c r="G24" s="2" t="str">
        <f>IF(Table1[[#This Row],[Stock_Quantity]]&lt;50,"Low",IF(Table1[[#This Row],[Stock_Quantity]]&lt;=150,"Medium","High"))</f>
        <v>Low</v>
      </c>
    </row>
    <row r="25" spans="1:7" x14ac:dyDescent="0.3">
      <c r="A25" s="4">
        <v>24</v>
      </c>
      <c r="B25" s="5" t="s">
        <v>29</v>
      </c>
      <c r="C25" s="5" t="s">
        <v>7</v>
      </c>
      <c r="D25" s="4">
        <v>19.5</v>
      </c>
      <c r="E25" s="4">
        <v>45</v>
      </c>
      <c r="F25" s="2">
        <f>Table1[[#This Row],[Price]]*Table1[[#This Row],[Stock_Quantity]]</f>
        <v>877.5</v>
      </c>
      <c r="G25" s="2" t="str">
        <f>IF(Table1[[#This Row],[Stock_Quantity]]&lt;50,"Low",IF(Table1[[#This Row],[Stock_Quantity]]&lt;=150,"Medium","High"))</f>
        <v>Low</v>
      </c>
    </row>
    <row r="26" spans="1:7" x14ac:dyDescent="0.3">
      <c r="A26" s="4">
        <v>25</v>
      </c>
      <c r="B26" s="5" t="s">
        <v>30</v>
      </c>
      <c r="C26" s="5" t="s">
        <v>19</v>
      </c>
      <c r="D26" s="4">
        <v>25</v>
      </c>
      <c r="E26" s="4">
        <v>15</v>
      </c>
      <c r="F26" s="2">
        <f>Table1[[#This Row],[Price]]*Table1[[#This Row],[Stock_Quantity]]</f>
        <v>375</v>
      </c>
      <c r="G26" s="2" t="str">
        <f>IF(Table1[[#This Row],[Stock_Quantity]]&lt;50,"Low",IF(Table1[[#This Row],[Stock_Quantity]]&lt;=150,"Medium","High"))</f>
        <v>Low</v>
      </c>
    </row>
    <row r="27" spans="1:7" x14ac:dyDescent="0.3">
      <c r="A27" s="4">
        <v>26</v>
      </c>
      <c r="B27" s="5" t="s">
        <v>31</v>
      </c>
      <c r="C27" s="5" t="s">
        <v>3</v>
      </c>
      <c r="D27" s="4">
        <v>35</v>
      </c>
      <c r="E27" s="4">
        <v>40</v>
      </c>
      <c r="F27" s="2">
        <f>Table1[[#This Row],[Price]]*Table1[[#This Row],[Stock_Quantity]]</f>
        <v>1400</v>
      </c>
      <c r="G27" s="2" t="str">
        <f>IF(Table1[[#This Row],[Stock_Quantity]]&lt;50,"Low",IF(Table1[[#This Row],[Stock_Quantity]]&lt;=150,"Medium","High"))</f>
        <v>Low</v>
      </c>
    </row>
    <row r="28" spans="1:7" x14ac:dyDescent="0.3">
      <c r="A28" s="4">
        <v>27</v>
      </c>
      <c r="B28" s="5" t="s">
        <v>32</v>
      </c>
      <c r="C28" s="5" t="s">
        <v>11</v>
      </c>
      <c r="D28" s="4">
        <v>45</v>
      </c>
      <c r="E28" s="4">
        <v>60</v>
      </c>
      <c r="F28" s="2">
        <f>Table1[[#This Row],[Price]]*Table1[[#This Row],[Stock_Quantity]]</f>
        <v>2700</v>
      </c>
      <c r="G28" s="2" t="str">
        <f>IF(Table1[[#This Row],[Stock_Quantity]]&lt;50,"Low",IF(Table1[[#This Row],[Stock_Quantity]]&lt;=150,"Medium","High"))</f>
        <v>Medium</v>
      </c>
    </row>
    <row r="29" spans="1:7" x14ac:dyDescent="0.3">
      <c r="A29" s="4">
        <v>28</v>
      </c>
      <c r="B29" s="5" t="s">
        <v>33</v>
      </c>
      <c r="C29" s="5" t="s">
        <v>1</v>
      </c>
      <c r="D29" s="4">
        <v>2.2000000000000002</v>
      </c>
      <c r="E29" s="4">
        <v>300</v>
      </c>
      <c r="F29" s="2">
        <f>Table1[[#This Row],[Price]]*Table1[[#This Row],[Stock_Quantity]]</f>
        <v>660</v>
      </c>
      <c r="G29" s="2" t="str">
        <f>IF(Table1[[#This Row],[Stock_Quantity]]&lt;50,"Low",IF(Table1[[#This Row],[Stock_Quantity]]&lt;=150,"Medium","High"))</f>
        <v>High</v>
      </c>
    </row>
    <row r="30" spans="1:7" x14ac:dyDescent="0.3">
      <c r="A30" s="4">
        <v>29</v>
      </c>
      <c r="B30" s="5" t="s">
        <v>34</v>
      </c>
      <c r="C30" s="5" t="s">
        <v>7</v>
      </c>
      <c r="D30" s="4">
        <v>55</v>
      </c>
      <c r="E30" s="4">
        <v>25</v>
      </c>
      <c r="F30" s="2">
        <f>Table1[[#This Row],[Price]]*Table1[[#This Row],[Stock_Quantity]]</f>
        <v>1375</v>
      </c>
      <c r="G30" s="2" t="str">
        <f>IF(Table1[[#This Row],[Stock_Quantity]]&lt;50,"Low",IF(Table1[[#This Row],[Stock_Quantity]]&lt;=150,"Medium","High"))</f>
        <v>Low</v>
      </c>
    </row>
    <row r="31" spans="1:7" x14ac:dyDescent="0.3">
      <c r="A31" s="4">
        <v>30</v>
      </c>
      <c r="B31" s="5" t="s">
        <v>35</v>
      </c>
      <c r="C31" s="5" t="s">
        <v>19</v>
      </c>
      <c r="D31" s="4">
        <v>6.5</v>
      </c>
      <c r="E31" s="4">
        <v>85</v>
      </c>
      <c r="F31" s="2">
        <f>Table1[[#This Row],[Price]]*Table1[[#This Row],[Stock_Quantity]]</f>
        <v>552.5</v>
      </c>
      <c r="G31" s="2" t="str">
        <f>IF(Table1[[#This Row],[Stock_Quantity]]&lt;50,"Low",IF(Table1[[#This Row],[Stock_Quantity]]&lt;=150,"Medium","High"))</f>
        <v>Medium</v>
      </c>
    </row>
    <row r="32" spans="1:7" x14ac:dyDescent="0.3">
      <c r="A32" s="4">
        <v>31</v>
      </c>
      <c r="B32" s="5" t="s">
        <v>36</v>
      </c>
      <c r="C32" s="5" t="s">
        <v>3</v>
      </c>
      <c r="D32" s="4">
        <v>14.99</v>
      </c>
      <c r="E32" s="4">
        <v>200</v>
      </c>
      <c r="F32" s="2">
        <f>Table1[[#This Row],[Price]]*Table1[[#This Row],[Stock_Quantity]]</f>
        <v>2998</v>
      </c>
      <c r="G32" s="2" t="str">
        <f>IF(Table1[[#This Row],[Stock_Quantity]]&lt;50,"Low",IF(Table1[[#This Row],[Stock_Quantity]]&lt;=150,"Medium","High"))</f>
        <v>High</v>
      </c>
    </row>
    <row r="33" spans="1:7" x14ac:dyDescent="0.3">
      <c r="A33" s="4">
        <v>32</v>
      </c>
      <c r="B33" s="5" t="s">
        <v>37</v>
      </c>
      <c r="C33" s="5" t="s">
        <v>1</v>
      </c>
      <c r="D33" s="4">
        <v>5.4</v>
      </c>
      <c r="E33" s="4">
        <v>95</v>
      </c>
      <c r="F33" s="2">
        <f>Table1[[#This Row],[Price]]*Table1[[#This Row],[Stock_Quantity]]</f>
        <v>513</v>
      </c>
      <c r="G33" s="2" t="str">
        <f>IF(Table1[[#This Row],[Stock_Quantity]]&lt;50,"Low",IF(Table1[[#This Row],[Stock_Quantity]]&lt;=150,"Medium","High"))</f>
        <v>Medium</v>
      </c>
    </row>
    <row r="34" spans="1:7" x14ac:dyDescent="0.3">
      <c r="A34" s="4">
        <v>33</v>
      </c>
      <c r="B34" s="5" t="s">
        <v>38</v>
      </c>
      <c r="C34" s="5" t="s">
        <v>5</v>
      </c>
      <c r="D34" s="4">
        <v>35</v>
      </c>
      <c r="E34" s="4">
        <v>110</v>
      </c>
      <c r="F34" s="2">
        <f>Table1[[#This Row],[Price]]*Table1[[#This Row],[Stock_Quantity]]</f>
        <v>3850</v>
      </c>
      <c r="G34" s="2" t="str">
        <f>IF(Table1[[#This Row],[Stock_Quantity]]&lt;50,"Low",IF(Table1[[#This Row],[Stock_Quantity]]&lt;=150,"Medium","High"))</f>
        <v>Medium</v>
      </c>
    </row>
    <row r="35" spans="1:7" x14ac:dyDescent="0.3">
      <c r="A35" s="4">
        <v>34</v>
      </c>
      <c r="B35" s="5" t="s">
        <v>39</v>
      </c>
      <c r="C35" s="5" t="s">
        <v>7</v>
      </c>
      <c r="D35" s="4">
        <v>28</v>
      </c>
      <c r="E35" s="4">
        <v>35</v>
      </c>
      <c r="F35" s="2">
        <f>Table1[[#This Row],[Price]]*Table1[[#This Row],[Stock_Quantity]]</f>
        <v>980</v>
      </c>
      <c r="G35" s="2" t="str">
        <f>IF(Table1[[#This Row],[Stock_Quantity]]&lt;50,"Low",IF(Table1[[#This Row],[Stock_Quantity]]&lt;=150,"Medium","High"))</f>
        <v>Low</v>
      </c>
    </row>
    <row r="36" spans="1:7" x14ac:dyDescent="0.3">
      <c r="A36" s="4">
        <v>35</v>
      </c>
      <c r="B36" s="5" t="s">
        <v>40</v>
      </c>
      <c r="C36" s="5" t="s">
        <v>11</v>
      </c>
      <c r="D36" s="4">
        <v>120</v>
      </c>
      <c r="E36" s="4">
        <v>12</v>
      </c>
      <c r="F36" s="2">
        <f>Table1[[#This Row],[Price]]*Table1[[#This Row],[Stock_Quantity]]</f>
        <v>1440</v>
      </c>
      <c r="G36" s="2" t="str">
        <f>IF(Table1[[#This Row],[Stock_Quantity]]&lt;50,"Low",IF(Table1[[#This Row],[Stock_Quantity]]&lt;=150,"Medium","High"))</f>
        <v>Low</v>
      </c>
    </row>
    <row r="37" spans="1:7" x14ac:dyDescent="0.3">
      <c r="A37" s="4">
        <v>36</v>
      </c>
      <c r="B37" s="5" t="s">
        <v>41</v>
      </c>
      <c r="C37" s="5" t="s">
        <v>19</v>
      </c>
      <c r="D37" s="4">
        <v>1.2</v>
      </c>
      <c r="E37" s="4">
        <v>500</v>
      </c>
      <c r="F37" s="2">
        <f>Table1[[#This Row],[Price]]*Table1[[#This Row],[Stock_Quantity]]</f>
        <v>600</v>
      </c>
      <c r="G37" s="2" t="str">
        <f>IF(Table1[[#This Row],[Stock_Quantity]]&lt;50,"Low",IF(Table1[[#This Row],[Stock_Quantity]]&lt;=150,"Medium","High"))</f>
        <v>High</v>
      </c>
    </row>
    <row r="38" spans="1:7" x14ac:dyDescent="0.3">
      <c r="A38" s="4">
        <v>37</v>
      </c>
      <c r="B38" s="5" t="s">
        <v>42</v>
      </c>
      <c r="C38" s="5" t="s">
        <v>3</v>
      </c>
      <c r="D38" s="4">
        <v>59.99</v>
      </c>
      <c r="E38" s="4">
        <v>45</v>
      </c>
      <c r="F38" s="2">
        <f>Table1[[#This Row],[Price]]*Table1[[#This Row],[Stock_Quantity]]</f>
        <v>2699.55</v>
      </c>
      <c r="G38" s="2" t="str">
        <f>IF(Table1[[#This Row],[Stock_Quantity]]&lt;50,"Low",IF(Table1[[#This Row],[Stock_Quantity]]&lt;=150,"Medium","High"))</f>
        <v>Low</v>
      </c>
    </row>
    <row r="39" spans="1:7" x14ac:dyDescent="0.3">
      <c r="A39" s="4">
        <v>38</v>
      </c>
      <c r="B39" s="5" t="s">
        <v>43</v>
      </c>
      <c r="C39" s="5" t="s">
        <v>1</v>
      </c>
      <c r="D39" s="4">
        <v>6.99</v>
      </c>
      <c r="E39" s="4">
        <v>60</v>
      </c>
      <c r="F39" s="2">
        <f>Table1[[#This Row],[Price]]*Table1[[#This Row],[Stock_Quantity]]</f>
        <v>419.40000000000003</v>
      </c>
      <c r="G39" s="2" t="str">
        <f>IF(Table1[[#This Row],[Stock_Quantity]]&lt;50,"Low",IF(Table1[[#This Row],[Stock_Quantity]]&lt;=150,"Medium","High"))</f>
        <v>Medium</v>
      </c>
    </row>
    <row r="40" spans="1:7" x14ac:dyDescent="0.3">
      <c r="A40" s="4">
        <v>39</v>
      </c>
      <c r="B40" s="5" t="s">
        <v>44</v>
      </c>
      <c r="C40" s="5" t="s">
        <v>5</v>
      </c>
      <c r="D40" s="4">
        <v>42</v>
      </c>
      <c r="E40" s="4">
        <v>50</v>
      </c>
      <c r="F40" s="2">
        <f>Table1[[#This Row],[Price]]*Table1[[#This Row],[Stock_Quantity]]</f>
        <v>2100</v>
      </c>
      <c r="G40" s="2" t="str">
        <f>IF(Table1[[#This Row],[Stock_Quantity]]&lt;50,"Low",IF(Table1[[#This Row],[Stock_Quantity]]&lt;=150,"Medium","High"))</f>
        <v>Medium</v>
      </c>
    </row>
    <row r="41" spans="1:7" x14ac:dyDescent="0.3">
      <c r="A41" s="4">
        <v>40</v>
      </c>
      <c r="B41" s="5" t="s">
        <v>45</v>
      </c>
      <c r="C41" s="5" t="s">
        <v>7</v>
      </c>
      <c r="D41" s="4">
        <v>24.99</v>
      </c>
      <c r="E41" s="4">
        <v>40</v>
      </c>
      <c r="F41" s="2">
        <f>Table1[[#This Row],[Price]]*Table1[[#This Row],[Stock_Quantity]]</f>
        <v>999.59999999999991</v>
      </c>
      <c r="G41" s="2" t="str">
        <f>IF(Table1[[#This Row],[Stock_Quantity]]&lt;50,"Low",IF(Table1[[#This Row],[Stock_Quantity]]&lt;=150,"Medium","High"))</f>
        <v>Low</v>
      </c>
    </row>
    <row r="42" spans="1:7" x14ac:dyDescent="0.3">
      <c r="A42" s="4">
        <v>41</v>
      </c>
      <c r="B42" s="5" t="s">
        <v>46</v>
      </c>
      <c r="C42" s="5" t="s">
        <v>11</v>
      </c>
      <c r="D42" s="4">
        <v>22</v>
      </c>
      <c r="E42" s="4">
        <v>90</v>
      </c>
      <c r="F42" s="2">
        <f>Table1[[#This Row],[Price]]*Table1[[#This Row],[Stock_Quantity]]</f>
        <v>1980</v>
      </c>
      <c r="G42" s="2" t="str">
        <f>IF(Table1[[#This Row],[Stock_Quantity]]&lt;50,"Low",IF(Table1[[#This Row],[Stock_Quantity]]&lt;=150,"Medium","High"))</f>
        <v>Medium</v>
      </c>
    </row>
    <row r="43" spans="1:7" x14ac:dyDescent="0.3">
      <c r="A43" s="4">
        <v>42</v>
      </c>
      <c r="B43" s="5" t="s">
        <v>47</v>
      </c>
      <c r="C43" s="5" t="s">
        <v>19</v>
      </c>
      <c r="D43" s="4">
        <v>2.5</v>
      </c>
      <c r="E43" s="4">
        <v>300</v>
      </c>
      <c r="F43" s="2">
        <f>Table1[[#This Row],[Price]]*Table1[[#This Row],[Stock_Quantity]]</f>
        <v>750</v>
      </c>
      <c r="G43" s="2" t="str">
        <f>IF(Table1[[#This Row],[Stock_Quantity]]&lt;50,"Low",IF(Table1[[#This Row],[Stock_Quantity]]&lt;=150,"Medium","High"))</f>
        <v>High</v>
      </c>
    </row>
    <row r="44" spans="1:7" x14ac:dyDescent="0.3">
      <c r="A44" s="4">
        <v>43</v>
      </c>
      <c r="B44" s="5" t="s">
        <v>48</v>
      </c>
      <c r="C44" s="5" t="s">
        <v>3</v>
      </c>
      <c r="D44" s="4">
        <v>49</v>
      </c>
      <c r="E44" s="4">
        <v>25</v>
      </c>
      <c r="F44" s="2">
        <f>Table1[[#This Row],[Price]]*Table1[[#This Row],[Stock_Quantity]]</f>
        <v>1225</v>
      </c>
      <c r="G44" s="2" t="str">
        <f>IF(Table1[[#This Row],[Stock_Quantity]]&lt;50,"Low",IF(Table1[[#This Row],[Stock_Quantity]]&lt;=150,"Medium","High"))</f>
        <v>Low</v>
      </c>
    </row>
    <row r="45" spans="1:7" x14ac:dyDescent="0.3">
      <c r="A45" s="4">
        <v>44</v>
      </c>
      <c r="B45" s="5" t="s">
        <v>49</v>
      </c>
      <c r="C45" s="5" t="s">
        <v>1</v>
      </c>
      <c r="D45" s="4">
        <v>8.5</v>
      </c>
      <c r="E45" s="4">
        <v>140</v>
      </c>
      <c r="F45" s="2">
        <f>Table1[[#This Row],[Price]]*Table1[[#This Row],[Stock_Quantity]]</f>
        <v>1190</v>
      </c>
      <c r="G45" s="2" t="str">
        <f>IF(Table1[[#This Row],[Stock_Quantity]]&lt;50,"Low",IF(Table1[[#This Row],[Stock_Quantity]]&lt;=150,"Medium","High"))</f>
        <v>Medium</v>
      </c>
    </row>
    <row r="46" spans="1:7" x14ac:dyDescent="0.3">
      <c r="A46" s="4">
        <v>45</v>
      </c>
      <c r="B46" s="5" t="s">
        <v>50</v>
      </c>
      <c r="C46" s="5" t="s">
        <v>7</v>
      </c>
      <c r="D46" s="4">
        <v>12</v>
      </c>
      <c r="E46" s="4">
        <v>150</v>
      </c>
      <c r="F46" s="2">
        <f>Table1[[#This Row],[Price]]*Table1[[#This Row],[Stock_Quantity]]</f>
        <v>1800</v>
      </c>
      <c r="G46" s="2" t="str">
        <f>IF(Table1[[#This Row],[Stock_Quantity]]&lt;50,"Low",IF(Table1[[#This Row],[Stock_Quantity]]&lt;=150,"Medium","High"))</f>
        <v>Medium</v>
      </c>
    </row>
    <row r="47" spans="1:7" x14ac:dyDescent="0.3">
      <c r="A47" s="4">
        <v>46</v>
      </c>
      <c r="B47" s="5" t="s">
        <v>51</v>
      </c>
      <c r="C47" s="5" t="s">
        <v>11</v>
      </c>
      <c r="D47" s="4">
        <v>18</v>
      </c>
      <c r="E47" s="4">
        <v>70</v>
      </c>
      <c r="F47" s="2">
        <f>Table1[[#This Row],[Price]]*Table1[[#This Row],[Stock_Quantity]]</f>
        <v>1260</v>
      </c>
      <c r="G47" s="2" t="str">
        <f>IF(Table1[[#This Row],[Stock_Quantity]]&lt;50,"Low",IF(Table1[[#This Row],[Stock_Quantity]]&lt;=150,"Medium","High"))</f>
        <v>Medium</v>
      </c>
    </row>
    <row r="48" spans="1:7" x14ac:dyDescent="0.3">
      <c r="A48" s="4">
        <v>47</v>
      </c>
      <c r="B48" s="5" t="s">
        <v>52</v>
      </c>
      <c r="C48" s="5" t="s">
        <v>19</v>
      </c>
      <c r="D48" s="4">
        <v>3</v>
      </c>
      <c r="E48" s="4">
        <v>250</v>
      </c>
      <c r="F48" s="2">
        <f>Table1[[#This Row],[Price]]*Table1[[#This Row],[Stock_Quantity]]</f>
        <v>750</v>
      </c>
      <c r="G48" s="2" t="str">
        <f>IF(Table1[[#This Row],[Stock_Quantity]]&lt;50,"Low",IF(Table1[[#This Row],[Stock_Quantity]]&lt;=150,"Medium","High"))</f>
        <v>High</v>
      </c>
    </row>
    <row r="49" spans="1:7" x14ac:dyDescent="0.3">
      <c r="A49" s="4">
        <v>48</v>
      </c>
      <c r="B49" s="5" t="s">
        <v>53</v>
      </c>
      <c r="C49" s="5" t="s">
        <v>3</v>
      </c>
      <c r="D49" s="4">
        <v>29</v>
      </c>
      <c r="E49" s="4">
        <v>80</v>
      </c>
      <c r="F49" s="2">
        <f>Table1[[#This Row],[Price]]*Table1[[#This Row],[Stock_Quantity]]</f>
        <v>2320</v>
      </c>
      <c r="G49" s="2" t="str">
        <f>IF(Table1[[#This Row],[Stock_Quantity]]&lt;50,"Low",IF(Table1[[#This Row],[Stock_Quantity]]&lt;=150,"Medium","High"))</f>
        <v>Medium</v>
      </c>
    </row>
    <row r="50" spans="1:7" x14ac:dyDescent="0.3">
      <c r="A50" s="4">
        <v>49</v>
      </c>
      <c r="B50" s="5" t="s">
        <v>54</v>
      </c>
      <c r="C50" s="5" t="s">
        <v>1</v>
      </c>
      <c r="D50" s="4">
        <v>3.2</v>
      </c>
      <c r="E50" s="4">
        <v>110</v>
      </c>
      <c r="F50" s="2">
        <f>Table1[[#This Row],[Price]]*Table1[[#This Row],[Stock_Quantity]]</f>
        <v>352</v>
      </c>
      <c r="G50" s="2" t="str">
        <f>IF(Table1[[#This Row],[Stock_Quantity]]&lt;50,"Low",IF(Table1[[#This Row],[Stock_Quantity]]&lt;=150,"Medium","High"))</f>
        <v>Medium</v>
      </c>
    </row>
    <row r="51" spans="1:7" x14ac:dyDescent="0.3">
      <c r="A51" s="4">
        <v>50</v>
      </c>
      <c r="B51" s="5" t="s">
        <v>55</v>
      </c>
      <c r="C51" s="5" t="s">
        <v>7</v>
      </c>
      <c r="D51" s="4">
        <v>7.99</v>
      </c>
      <c r="E51" s="4">
        <v>65</v>
      </c>
      <c r="F51" s="2">
        <f>Table1[[#This Row],[Price]]*Table1[[#This Row],[Stock_Quantity]]</f>
        <v>519.35</v>
      </c>
      <c r="G51" s="2" t="str">
        <f>IF(Table1[[#This Row],[Stock_Quantity]]&lt;50,"Low",IF(Table1[[#This Row],[Stock_Quantity]]&lt;=150,"Medium","High"))</f>
        <v>Medium</v>
      </c>
    </row>
    <row r="52" spans="1:7" x14ac:dyDescent="0.3">
      <c r="A52" s="4">
        <v>51</v>
      </c>
      <c r="B52" s="5" t="s">
        <v>56</v>
      </c>
      <c r="C52" s="5" t="s">
        <v>5</v>
      </c>
      <c r="D52" s="4">
        <v>19</v>
      </c>
      <c r="E52" s="4">
        <v>120</v>
      </c>
      <c r="F52" s="2">
        <f>Table1[[#This Row],[Price]]*Table1[[#This Row],[Stock_Quantity]]</f>
        <v>2280</v>
      </c>
      <c r="G52" s="2" t="str">
        <f>IF(Table1[[#This Row],[Stock_Quantity]]&lt;50,"Low",IF(Table1[[#This Row],[Stock_Quantity]]&lt;=150,"Medium","High"))</f>
        <v>Medium</v>
      </c>
    </row>
    <row r="53" spans="1:7" x14ac:dyDescent="0.3">
      <c r="A53" s="4">
        <v>52</v>
      </c>
      <c r="B53" s="5" t="s">
        <v>57</v>
      </c>
      <c r="C53" s="5" t="s">
        <v>3</v>
      </c>
      <c r="D53" s="4">
        <v>15.99</v>
      </c>
      <c r="E53" s="4">
        <v>100</v>
      </c>
      <c r="F53" s="2">
        <f>Table1[[#This Row],[Price]]*Table1[[#This Row],[Stock_Quantity]]</f>
        <v>1599</v>
      </c>
      <c r="G53" s="2" t="str">
        <f>IF(Table1[[#This Row],[Stock_Quantity]]&lt;50,"Low",IF(Table1[[#This Row],[Stock_Quantity]]&lt;=150,"Medium","High"))</f>
        <v>Medium</v>
      </c>
    </row>
    <row r="54" spans="1:7" x14ac:dyDescent="0.3">
      <c r="A54" s="4">
        <v>53</v>
      </c>
      <c r="B54" s="5" t="s">
        <v>58</v>
      </c>
      <c r="C54" s="5" t="s">
        <v>1</v>
      </c>
      <c r="D54" s="4">
        <v>1.1000000000000001</v>
      </c>
      <c r="E54" s="4">
        <v>400</v>
      </c>
      <c r="F54" s="2">
        <f>Table1[[#This Row],[Price]]*Table1[[#This Row],[Stock_Quantity]]</f>
        <v>440.00000000000006</v>
      </c>
      <c r="G54" s="2" t="str">
        <f>IF(Table1[[#This Row],[Stock_Quantity]]&lt;50,"Low",IF(Table1[[#This Row],[Stock_Quantity]]&lt;=150,"Medium","High"))</f>
        <v>High</v>
      </c>
    </row>
    <row r="55" spans="1:7" x14ac:dyDescent="0.3">
      <c r="A55" s="4">
        <v>54</v>
      </c>
      <c r="B55" s="5" t="s">
        <v>59</v>
      </c>
      <c r="C55" s="5" t="s">
        <v>7</v>
      </c>
      <c r="D55" s="4">
        <v>14.5</v>
      </c>
      <c r="E55" s="4">
        <v>40</v>
      </c>
      <c r="F55" s="2">
        <f>Table1[[#This Row],[Price]]*Table1[[#This Row],[Stock_Quantity]]</f>
        <v>580</v>
      </c>
      <c r="G55" s="2" t="str">
        <f>IF(Table1[[#This Row],[Stock_Quantity]]&lt;50,"Low",IF(Table1[[#This Row],[Stock_Quantity]]&lt;=150,"Medium","High"))</f>
        <v>Low</v>
      </c>
    </row>
    <row r="56" spans="1:7" x14ac:dyDescent="0.3">
      <c r="A56" s="4">
        <v>55</v>
      </c>
      <c r="B56" s="5" t="s">
        <v>60</v>
      </c>
      <c r="C56" s="5" t="s">
        <v>11</v>
      </c>
      <c r="D56" s="4">
        <v>10</v>
      </c>
      <c r="E56" s="4">
        <v>150</v>
      </c>
      <c r="F56" s="2">
        <f>Table1[[#This Row],[Price]]*Table1[[#This Row],[Stock_Quantity]]</f>
        <v>1500</v>
      </c>
      <c r="G56" s="2" t="str">
        <f>IF(Table1[[#This Row],[Stock_Quantity]]&lt;50,"Low",IF(Table1[[#This Row],[Stock_Quantity]]&lt;=150,"Medium","High"))</f>
        <v>Medium</v>
      </c>
    </row>
    <row r="57" spans="1:7" x14ac:dyDescent="0.3">
      <c r="A57" s="4">
        <v>56</v>
      </c>
      <c r="B57" s="5" t="s">
        <v>61</v>
      </c>
      <c r="C57" s="5" t="s">
        <v>19</v>
      </c>
      <c r="D57" s="4">
        <v>4.5</v>
      </c>
      <c r="E57" s="4">
        <v>180</v>
      </c>
      <c r="F57" s="2">
        <f>Table1[[#This Row],[Price]]*Table1[[#This Row],[Stock_Quantity]]</f>
        <v>810</v>
      </c>
      <c r="G57" s="2" t="str">
        <f>IF(Table1[[#This Row],[Stock_Quantity]]&lt;50,"Low",IF(Table1[[#This Row],[Stock_Quantity]]&lt;=150,"Medium","High"))</f>
        <v>High</v>
      </c>
    </row>
    <row r="58" spans="1:7" x14ac:dyDescent="0.3">
      <c r="A58" s="4">
        <v>57</v>
      </c>
      <c r="B58" s="5" t="s">
        <v>62</v>
      </c>
      <c r="C58" s="5" t="s">
        <v>3</v>
      </c>
      <c r="D58" s="4">
        <v>8.5</v>
      </c>
      <c r="E58" s="4">
        <v>90</v>
      </c>
      <c r="F58" s="2">
        <f>Table1[[#This Row],[Price]]*Table1[[#This Row],[Stock_Quantity]]</f>
        <v>765</v>
      </c>
      <c r="G58" s="2" t="str">
        <f>IF(Table1[[#This Row],[Stock_Quantity]]&lt;50,"Low",IF(Table1[[#This Row],[Stock_Quantity]]&lt;=150,"Medium","High"))</f>
        <v>Medium</v>
      </c>
    </row>
    <row r="59" spans="1:7" x14ac:dyDescent="0.3">
      <c r="A59" s="4">
        <v>58</v>
      </c>
      <c r="B59" s="5" t="s">
        <v>63</v>
      </c>
      <c r="C59" s="5" t="s">
        <v>1</v>
      </c>
      <c r="D59" s="4">
        <v>4</v>
      </c>
      <c r="E59" s="4">
        <v>130</v>
      </c>
      <c r="F59" s="2">
        <f>Table1[[#This Row],[Price]]*Table1[[#This Row],[Stock_Quantity]]</f>
        <v>520</v>
      </c>
      <c r="G59" s="2" t="str">
        <f>IF(Table1[[#This Row],[Stock_Quantity]]&lt;50,"Low",IF(Table1[[#This Row],[Stock_Quantity]]&lt;=150,"Medium","High"))</f>
        <v>Medium</v>
      </c>
    </row>
    <row r="60" spans="1:7" x14ac:dyDescent="0.3">
      <c r="A60" s="4">
        <v>59</v>
      </c>
      <c r="B60" s="5" t="s">
        <v>64</v>
      </c>
      <c r="C60" s="5" t="s">
        <v>7</v>
      </c>
      <c r="D60" s="4">
        <v>22</v>
      </c>
      <c r="E60" s="4">
        <v>25</v>
      </c>
      <c r="F60" s="2">
        <f>Table1[[#This Row],[Price]]*Table1[[#This Row],[Stock_Quantity]]</f>
        <v>550</v>
      </c>
      <c r="G60" s="2" t="str">
        <f>IF(Table1[[#This Row],[Stock_Quantity]]&lt;50,"Low",IF(Table1[[#This Row],[Stock_Quantity]]&lt;=150,"Medium","High"))</f>
        <v>Low</v>
      </c>
    </row>
    <row r="61" spans="1:7" x14ac:dyDescent="0.3">
      <c r="A61" s="4">
        <v>60</v>
      </c>
      <c r="B61" s="5" t="s">
        <v>65</v>
      </c>
      <c r="C61" s="5" t="s">
        <v>11</v>
      </c>
      <c r="D61" s="4">
        <v>25</v>
      </c>
      <c r="E61" s="4">
        <v>55</v>
      </c>
      <c r="F61" s="2">
        <f>Table1[[#This Row],[Price]]*Table1[[#This Row],[Stock_Quantity]]</f>
        <v>1375</v>
      </c>
      <c r="G61" s="2" t="str">
        <f>IF(Table1[[#This Row],[Stock_Quantity]]&lt;50,"Low",IF(Table1[[#This Row],[Stock_Quantity]]&lt;=150,"Medium","High"))</f>
        <v>Medium</v>
      </c>
    </row>
    <row r="62" spans="1:7" x14ac:dyDescent="0.3">
      <c r="A62" s="4">
        <v>61</v>
      </c>
      <c r="B62" s="5" t="s">
        <v>66</v>
      </c>
      <c r="C62" s="5" t="s">
        <v>19</v>
      </c>
      <c r="D62" s="4">
        <v>5.5</v>
      </c>
      <c r="E62" s="4">
        <v>140</v>
      </c>
      <c r="F62" s="2">
        <f>Table1[[#This Row],[Price]]*Table1[[#This Row],[Stock_Quantity]]</f>
        <v>770</v>
      </c>
      <c r="G62" s="2" t="str">
        <f>IF(Table1[[#This Row],[Stock_Quantity]]&lt;50,"Low",IF(Table1[[#This Row],[Stock_Quantity]]&lt;=150,"Medium","High"))</f>
        <v>Medium</v>
      </c>
    </row>
    <row r="63" spans="1:7" x14ac:dyDescent="0.3">
      <c r="A63" s="4">
        <v>62</v>
      </c>
      <c r="B63" s="5" t="s">
        <v>67</v>
      </c>
      <c r="C63" s="5" t="s">
        <v>3</v>
      </c>
      <c r="D63" s="4">
        <v>18</v>
      </c>
      <c r="E63" s="4">
        <v>110</v>
      </c>
      <c r="F63" s="2">
        <f>Table1[[#This Row],[Price]]*Table1[[#This Row],[Stock_Quantity]]</f>
        <v>1980</v>
      </c>
      <c r="G63" s="2" t="str">
        <f>IF(Table1[[#This Row],[Stock_Quantity]]&lt;50,"Low",IF(Table1[[#This Row],[Stock_Quantity]]&lt;=150,"Medium","High"))</f>
        <v>Medium</v>
      </c>
    </row>
    <row r="64" spans="1:7" x14ac:dyDescent="0.3">
      <c r="A64" s="4">
        <v>63</v>
      </c>
      <c r="B64" s="5" t="s">
        <v>68</v>
      </c>
      <c r="C64" s="5" t="s">
        <v>1</v>
      </c>
      <c r="D64" s="4">
        <v>9</v>
      </c>
      <c r="E64" s="4">
        <v>75</v>
      </c>
      <c r="F64" s="2">
        <f>Table1[[#This Row],[Price]]*Table1[[#This Row],[Stock_Quantity]]</f>
        <v>675</v>
      </c>
      <c r="G64" s="2" t="str">
        <f>IF(Table1[[#This Row],[Stock_Quantity]]&lt;50,"Low",IF(Table1[[#This Row],[Stock_Quantity]]&lt;=150,"Medium","High"))</f>
        <v>Medium</v>
      </c>
    </row>
    <row r="65" spans="1:7" x14ac:dyDescent="0.3">
      <c r="A65" s="4">
        <v>64</v>
      </c>
      <c r="B65" s="5" t="s">
        <v>69</v>
      </c>
      <c r="C65" s="5" t="s">
        <v>7</v>
      </c>
      <c r="D65" s="4">
        <v>12.5</v>
      </c>
      <c r="E65" s="4">
        <v>50</v>
      </c>
      <c r="F65" s="2">
        <f>Table1[[#This Row],[Price]]*Table1[[#This Row],[Stock_Quantity]]</f>
        <v>625</v>
      </c>
      <c r="G65" s="2" t="str">
        <f>IF(Table1[[#This Row],[Stock_Quantity]]&lt;50,"Low",IF(Table1[[#This Row],[Stock_Quantity]]&lt;=150,"Medium","High"))</f>
        <v>Medium</v>
      </c>
    </row>
    <row r="66" spans="1:7" x14ac:dyDescent="0.3">
      <c r="A66" s="4">
        <v>65</v>
      </c>
      <c r="B66" s="5" t="s">
        <v>70</v>
      </c>
      <c r="C66" s="5" t="s">
        <v>5</v>
      </c>
      <c r="D66" s="4">
        <v>30</v>
      </c>
      <c r="E66" s="4">
        <v>80</v>
      </c>
      <c r="F66" s="2">
        <f>Table1[[#This Row],[Price]]*Table1[[#This Row],[Stock_Quantity]]</f>
        <v>2400</v>
      </c>
      <c r="G66" s="2" t="str">
        <f>IF(Table1[[#This Row],[Stock_Quantity]]&lt;50,"Low",IF(Table1[[#This Row],[Stock_Quantity]]&lt;=150,"Medium","High"))</f>
        <v>Medium</v>
      </c>
    </row>
    <row r="67" spans="1:7" x14ac:dyDescent="0.3">
      <c r="A67" s="4">
        <v>66</v>
      </c>
      <c r="B67" s="5" t="s">
        <v>71</v>
      </c>
      <c r="C67" s="5" t="s">
        <v>5</v>
      </c>
      <c r="D67" s="4">
        <v>55</v>
      </c>
      <c r="E67" s="4">
        <v>45</v>
      </c>
      <c r="F67" s="2">
        <f>Table1[[#This Row],[Price]]*Table1[[#This Row],[Stock_Quantity]]</f>
        <v>2475</v>
      </c>
      <c r="G67" s="2" t="str">
        <f>IF(Table1[[#This Row],[Stock_Quantity]]&lt;50,"Low",IF(Table1[[#This Row],[Stock_Quantity]]&lt;=150,"Medium","High"))</f>
        <v>Low</v>
      </c>
    </row>
    <row r="68" spans="1:7" x14ac:dyDescent="0.3">
      <c r="A68" s="4">
        <v>67</v>
      </c>
      <c r="B68" s="5" t="s">
        <v>72</v>
      </c>
      <c r="C68" s="5" t="s">
        <v>11</v>
      </c>
      <c r="D68" s="4">
        <v>35</v>
      </c>
      <c r="E68" s="4">
        <v>30</v>
      </c>
      <c r="F68" s="2">
        <f>Table1[[#This Row],[Price]]*Table1[[#This Row],[Stock_Quantity]]</f>
        <v>1050</v>
      </c>
      <c r="G68" s="2" t="str">
        <f>IF(Table1[[#This Row],[Stock_Quantity]]&lt;50,"Low",IF(Table1[[#This Row],[Stock_Quantity]]&lt;=150,"Medium","High"))</f>
        <v>Low</v>
      </c>
    </row>
    <row r="69" spans="1:7" x14ac:dyDescent="0.3">
      <c r="A69" s="4">
        <v>68</v>
      </c>
      <c r="B69" s="5" t="s">
        <v>73</v>
      </c>
      <c r="C69" s="5" t="s">
        <v>19</v>
      </c>
      <c r="D69" s="4">
        <v>12</v>
      </c>
      <c r="E69" s="4">
        <v>60</v>
      </c>
      <c r="F69" s="2">
        <f>Table1[[#This Row],[Price]]*Table1[[#This Row],[Stock_Quantity]]</f>
        <v>720</v>
      </c>
      <c r="G69" s="2" t="str">
        <f>IF(Table1[[#This Row],[Stock_Quantity]]&lt;50,"Low",IF(Table1[[#This Row],[Stock_Quantity]]&lt;=150,"Medium","High"))</f>
        <v>Medium</v>
      </c>
    </row>
    <row r="70" spans="1:7" x14ac:dyDescent="0.3">
      <c r="A70" s="4">
        <v>69</v>
      </c>
      <c r="B70" s="5" t="s">
        <v>74</v>
      </c>
      <c r="C70" s="5" t="s">
        <v>3</v>
      </c>
      <c r="D70" s="4">
        <v>65</v>
      </c>
      <c r="E70" s="4">
        <v>20</v>
      </c>
      <c r="F70" s="2">
        <f>Table1[[#This Row],[Price]]*Table1[[#This Row],[Stock_Quantity]]</f>
        <v>1300</v>
      </c>
      <c r="G70" s="2" t="str">
        <f>IF(Table1[[#This Row],[Stock_Quantity]]&lt;50,"Low",IF(Table1[[#This Row],[Stock_Quantity]]&lt;=150,"Medium","High"))</f>
        <v>Low</v>
      </c>
    </row>
    <row r="71" spans="1:7" x14ac:dyDescent="0.3">
      <c r="A71" s="4">
        <v>70</v>
      </c>
      <c r="B71" s="5" t="s">
        <v>75</v>
      </c>
      <c r="C71" s="5" t="s">
        <v>1</v>
      </c>
      <c r="D71" s="4">
        <v>11</v>
      </c>
      <c r="E71" s="4">
        <v>40</v>
      </c>
      <c r="F71" s="2">
        <f>Table1[[#This Row],[Price]]*Table1[[#This Row],[Stock_Quantity]]</f>
        <v>440</v>
      </c>
      <c r="G71" s="2" t="str">
        <f>IF(Table1[[#This Row],[Stock_Quantity]]&lt;50,"Low",IF(Table1[[#This Row],[Stock_Quantity]]&lt;=150,"Medium","High"))</f>
        <v>Low</v>
      </c>
    </row>
    <row r="72" spans="1:7" x14ac:dyDescent="0.3">
      <c r="A72" s="4">
        <v>71</v>
      </c>
      <c r="B72" s="5" t="s">
        <v>76</v>
      </c>
      <c r="C72" s="5" t="s">
        <v>7</v>
      </c>
      <c r="D72" s="4">
        <v>9</v>
      </c>
      <c r="E72" s="4">
        <v>100</v>
      </c>
      <c r="F72" s="2">
        <f>Table1[[#This Row],[Price]]*Table1[[#This Row],[Stock_Quantity]]</f>
        <v>900</v>
      </c>
      <c r="G72" s="2" t="str">
        <f>IF(Table1[[#This Row],[Stock_Quantity]]&lt;50,"Low",IF(Table1[[#This Row],[Stock_Quantity]]&lt;=150,"Medium","High"))</f>
        <v>Medium</v>
      </c>
    </row>
    <row r="73" spans="1:7" x14ac:dyDescent="0.3">
      <c r="A73" s="4">
        <v>72</v>
      </c>
      <c r="B73" s="5" t="s">
        <v>77</v>
      </c>
      <c r="C73" s="5" t="s">
        <v>11</v>
      </c>
      <c r="D73" s="4">
        <v>15</v>
      </c>
      <c r="E73" s="4">
        <v>85</v>
      </c>
      <c r="F73" s="2">
        <f>Table1[[#This Row],[Price]]*Table1[[#This Row],[Stock_Quantity]]</f>
        <v>1275</v>
      </c>
      <c r="G73" s="2" t="str">
        <f>IF(Table1[[#This Row],[Stock_Quantity]]&lt;50,"Low",IF(Table1[[#This Row],[Stock_Quantity]]&lt;=150,"Medium","High"))</f>
        <v>Medium</v>
      </c>
    </row>
    <row r="74" spans="1:7" x14ac:dyDescent="0.3">
      <c r="A74" s="4">
        <v>73</v>
      </c>
      <c r="B74" s="5" t="s">
        <v>78</v>
      </c>
      <c r="C74" s="5" t="s">
        <v>19</v>
      </c>
      <c r="D74" s="4">
        <v>18</v>
      </c>
      <c r="E74" s="4">
        <v>50</v>
      </c>
      <c r="F74" s="2">
        <f>Table1[[#This Row],[Price]]*Table1[[#This Row],[Stock_Quantity]]</f>
        <v>900</v>
      </c>
      <c r="G74" s="2" t="str">
        <f>IF(Table1[[#This Row],[Stock_Quantity]]&lt;50,"Low",IF(Table1[[#This Row],[Stock_Quantity]]&lt;=150,"Medium","High"))</f>
        <v>Medium</v>
      </c>
    </row>
    <row r="75" spans="1:7" x14ac:dyDescent="0.3">
      <c r="A75" s="4">
        <v>74</v>
      </c>
      <c r="B75" s="5" t="s">
        <v>79</v>
      </c>
      <c r="C75" s="5" t="s">
        <v>3</v>
      </c>
      <c r="D75" s="4">
        <v>45</v>
      </c>
      <c r="E75" s="4">
        <v>120</v>
      </c>
      <c r="F75" s="2">
        <f>Table1[[#This Row],[Price]]*Table1[[#This Row],[Stock_Quantity]]</f>
        <v>5400</v>
      </c>
      <c r="G75" s="2" t="str">
        <f>IF(Table1[[#This Row],[Stock_Quantity]]&lt;50,"Low",IF(Table1[[#This Row],[Stock_Quantity]]&lt;=150,"Medium","High"))</f>
        <v>Medium</v>
      </c>
    </row>
    <row r="76" spans="1:7" x14ac:dyDescent="0.3">
      <c r="A76" s="4">
        <v>75</v>
      </c>
      <c r="B76" s="5" t="s">
        <v>80</v>
      </c>
      <c r="C76" s="5" t="s">
        <v>1</v>
      </c>
      <c r="D76" s="4">
        <v>3.5</v>
      </c>
      <c r="E76" s="4">
        <v>200</v>
      </c>
      <c r="F76" s="2">
        <f>Table1[[#This Row],[Price]]*Table1[[#This Row],[Stock_Quantity]]</f>
        <v>700</v>
      </c>
      <c r="G76" s="2" t="str">
        <f>IF(Table1[[#This Row],[Stock_Quantity]]&lt;50,"Low",IF(Table1[[#This Row],[Stock_Quantity]]&lt;=150,"Medium","High"))</f>
        <v>High</v>
      </c>
    </row>
    <row r="77" spans="1:7" x14ac:dyDescent="0.3">
      <c r="A77" s="4">
        <v>76</v>
      </c>
      <c r="B77" s="5" t="s">
        <v>81</v>
      </c>
      <c r="C77" s="5" t="s">
        <v>7</v>
      </c>
      <c r="D77" s="4">
        <v>24</v>
      </c>
      <c r="E77" s="4">
        <v>35</v>
      </c>
      <c r="F77" s="2">
        <f>Table1[[#This Row],[Price]]*Table1[[#This Row],[Stock_Quantity]]</f>
        <v>840</v>
      </c>
      <c r="G77" s="2" t="str">
        <f>IF(Table1[[#This Row],[Stock_Quantity]]&lt;50,"Low",IF(Table1[[#This Row],[Stock_Quantity]]&lt;=150,"Medium","High"))</f>
        <v>Low</v>
      </c>
    </row>
    <row r="78" spans="1:7" x14ac:dyDescent="0.3">
      <c r="A78" s="4">
        <v>77</v>
      </c>
      <c r="B78" s="5" t="s">
        <v>82</v>
      </c>
      <c r="C78" s="5" t="s">
        <v>5</v>
      </c>
      <c r="D78" s="4">
        <v>15</v>
      </c>
      <c r="E78" s="4">
        <v>70</v>
      </c>
      <c r="F78" s="2">
        <f>Table1[[#This Row],[Price]]*Table1[[#This Row],[Stock_Quantity]]</f>
        <v>1050</v>
      </c>
      <c r="G78" s="2" t="str">
        <f>IF(Table1[[#This Row],[Stock_Quantity]]&lt;50,"Low",IF(Table1[[#This Row],[Stock_Quantity]]&lt;=150,"Medium","High"))</f>
        <v>Medium</v>
      </c>
    </row>
    <row r="79" spans="1:7" x14ac:dyDescent="0.3">
      <c r="A79" s="4">
        <v>78</v>
      </c>
      <c r="B79" s="5" t="s">
        <v>83</v>
      </c>
      <c r="C79" s="5" t="s">
        <v>11</v>
      </c>
      <c r="D79" s="4">
        <v>8</v>
      </c>
      <c r="E79" s="4">
        <v>110</v>
      </c>
      <c r="F79" s="2">
        <f>Table1[[#This Row],[Price]]*Table1[[#This Row],[Stock_Quantity]]</f>
        <v>880</v>
      </c>
      <c r="G79" s="2" t="str">
        <f>IF(Table1[[#This Row],[Stock_Quantity]]&lt;50,"Low",IF(Table1[[#This Row],[Stock_Quantity]]&lt;=150,"Medium","High"))</f>
        <v>Medium</v>
      </c>
    </row>
    <row r="80" spans="1:7" x14ac:dyDescent="0.3">
      <c r="A80" s="4">
        <v>79</v>
      </c>
      <c r="B80" s="5" t="s">
        <v>84</v>
      </c>
      <c r="C80" s="5" t="s">
        <v>19</v>
      </c>
      <c r="D80" s="4">
        <v>4</v>
      </c>
      <c r="E80" s="4">
        <v>220</v>
      </c>
      <c r="F80" s="2">
        <f>Table1[[#This Row],[Price]]*Table1[[#This Row],[Stock_Quantity]]</f>
        <v>880</v>
      </c>
      <c r="G80" s="2" t="str">
        <f>IF(Table1[[#This Row],[Stock_Quantity]]&lt;50,"Low",IF(Table1[[#This Row],[Stock_Quantity]]&lt;=150,"Medium","High"))</f>
        <v>High</v>
      </c>
    </row>
    <row r="81" spans="1:7" x14ac:dyDescent="0.3">
      <c r="A81" s="4">
        <v>80</v>
      </c>
      <c r="B81" s="5" t="s">
        <v>85</v>
      </c>
      <c r="C81" s="5" t="s">
        <v>3</v>
      </c>
      <c r="D81" s="4">
        <v>19.989999999999998</v>
      </c>
      <c r="E81" s="4">
        <v>60</v>
      </c>
      <c r="F81" s="2">
        <f>Table1[[#This Row],[Price]]*Table1[[#This Row],[Stock_Quantity]]</f>
        <v>1199.3999999999999</v>
      </c>
      <c r="G81" s="2" t="str">
        <f>IF(Table1[[#This Row],[Stock_Quantity]]&lt;50,"Low",IF(Table1[[#This Row],[Stock_Quantity]]&lt;=150,"Medium","High"))</f>
        <v>Medium</v>
      </c>
    </row>
    <row r="82" spans="1:7" x14ac:dyDescent="0.3">
      <c r="A82" s="4">
        <v>81</v>
      </c>
      <c r="B82" s="5" t="s">
        <v>86</v>
      </c>
      <c r="C82" s="5" t="s">
        <v>1</v>
      </c>
      <c r="D82" s="4">
        <v>2.5</v>
      </c>
      <c r="E82" s="4">
        <v>180</v>
      </c>
      <c r="F82" s="2">
        <f>Table1[[#This Row],[Price]]*Table1[[#This Row],[Stock_Quantity]]</f>
        <v>450</v>
      </c>
      <c r="G82" s="2" t="str">
        <f>IF(Table1[[#This Row],[Stock_Quantity]]&lt;50,"Low",IF(Table1[[#This Row],[Stock_Quantity]]&lt;=150,"Medium","High"))</f>
        <v>High</v>
      </c>
    </row>
    <row r="83" spans="1:7" x14ac:dyDescent="0.3">
      <c r="A83" s="4">
        <v>82</v>
      </c>
      <c r="B83" s="5" t="s">
        <v>87</v>
      </c>
      <c r="C83" s="5" t="s">
        <v>7</v>
      </c>
      <c r="D83" s="4">
        <v>32</v>
      </c>
      <c r="E83" s="4">
        <v>30</v>
      </c>
      <c r="F83" s="2">
        <f>Table1[[#This Row],[Price]]*Table1[[#This Row],[Stock_Quantity]]</f>
        <v>960</v>
      </c>
      <c r="G83" s="2" t="str">
        <f>IF(Table1[[#This Row],[Stock_Quantity]]&lt;50,"Low",IF(Table1[[#This Row],[Stock_Quantity]]&lt;=150,"Medium","High"))</f>
        <v>Low</v>
      </c>
    </row>
    <row r="84" spans="1:7" x14ac:dyDescent="0.3">
      <c r="A84" s="4">
        <v>83</v>
      </c>
      <c r="B84" s="5" t="s">
        <v>88</v>
      </c>
      <c r="C84" s="5" t="s">
        <v>5</v>
      </c>
      <c r="D84" s="4">
        <v>22</v>
      </c>
      <c r="E84" s="4">
        <v>95</v>
      </c>
      <c r="F84" s="2">
        <f>Table1[[#This Row],[Price]]*Table1[[#This Row],[Stock_Quantity]]</f>
        <v>2090</v>
      </c>
      <c r="G84" s="2" t="str">
        <f>IF(Table1[[#This Row],[Stock_Quantity]]&lt;50,"Low",IF(Table1[[#This Row],[Stock_Quantity]]&lt;=150,"Medium","High"))</f>
        <v>Medium</v>
      </c>
    </row>
    <row r="85" spans="1:7" x14ac:dyDescent="0.3">
      <c r="A85" s="4">
        <v>84</v>
      </c>
      <c r="B85" s="5" t="s">
        <v>89</v>
      </c>
      <c r="C85" s="5" t="s">
        <v>11</v>
      </c>
      <c r="D85" s="4">
        <v>45</v>
      </c>
      <c r="E85" s="4">
        <v>25</v>
      </c>
      <c r="F85" s="2">
        <f>Table1[[#This Row],[Price]]*Table1[[#This Row],[Stock_Quantity]]</f>
        <v>1125</v>
      </c>
      <c r="G85" s="2" t="str">
        <f>IF(Table1[[#This Row],[Stock_Quantity]]&lt;50,"Low",IF(Table1[[#This Row],[Stock_Quantity]]&lt;=150,"Medium","High"))</f>
        <v>Low</v>
      </c>
    </row>
    <row r="86" spans="1:7" x14ac:dyDescent="0.3">
      <c r="A86" s="4">
        <v>85</v>
      </c>
      <c r="B86" s="5" t="s">
        <v>90</v>
      </c>
      <c r="C86" s="5" t="s">
        <v>19</v>
      </c>
      <c r="D86" s="4">
        <v>1.5</v>
      </c>
      <c r="E86" s="4">
        <v>400</v>
      </c>
      <c r="F86" s="2">
        <f>Table1[[#This Row],[Price]]*Table1[[#This Row],[Stock_Quantity]]</f>
        <v>600</v>
      </c>
      <c r="G86" s="2" t="str">
        <f>IF(Table1[[#This Row],[Stock_Quantity]]&lt;50,"Low",IF(Table1[[#This Row],[Stock_Quantity]]&lt;=150,"Medium","High"))</f>
        <v>High</v>
      </c>
    </row>
    <row r="87" spans="1:7" x14ac:dyDescent="0.3">
      <c r="A87" s="4">
        <v>86</v>
      </c>
      <c r="B87" s="5" t="s">
        <v>91</v>
      </c>
      <c r="C87" s="5" t="s">
        <v>3</v>
      </c>
      <c r="D87" s="4">
        <v>12</v>
      </c>
      <c r="E87" s="4">
        <v>40</v>
      </c>
      <c r="F87" s="2">
        <f>Table1[[#This Row],[Price]]*Table1[[#This Row],[Stock_Quantity]]</f>
        <v>480</v>
      </c>
      <c r="G87" s="2" t="str">
        <f>IF(Table1[[#This Row],[Stock_Quantity]]&lt;50,"Low",IF(Table1[[#This Row],[Stock_Quantity]]&lt;=150,"Medium","High"))</f>
        <v>Low</v>
      </c>
    </row>
    <row r="88" spans="1:7" x14ac:dyDescent="0.3">
      <c r="A88" s="4">
        <v>87</v>
      </c>
      <c r="B88" s="5" t="s">
        <v>92</v>
      </c>
      <c r="C88" s="5" t="s">
        <v>1</v>
      </c>
      <c r="D88" s="4">
        <v>18</v>
      </c>
      <c r="E88" s="4">
        <v>25</v>
      </c>
      <c r="F88" s="2">
        <f>Table1[[#This Row],[Price]]*Table1[[#This Row],[Stock_Quantity]]</f>
        <v>450</v>
      </c>
      <c r="G88" s="2" t="str">
        <f>IF(Table1[[#This Row],[Stock_Quantity]]&lt;50,"Low",IF(Table1[[#This Row],[Stock_Quantity]]&lt;=150,"Medium","High"))</f>
        <v>Low</v>
      </c>
    </row>
    <row r="89" spans="1:7" x14ac:dyDescent="0.3">
      <c r="A89" s="4">
        <v>88</v>
      </c>
      <c r="B89" s="5" t="s">
        <v>93</v>
      </c>
      <c r="C89" s="5" t="s">
        <v>7</v>
      </c>
      <c r="D89" s="4">
        <v>28</v>
      </c>
      <c r="E89" s="4">
        <v>20</v>
      </c>
      <c r="F89" s="2">
        <f>Table1[[#This Row],[Price]]*Table1[[#This Row],[Stock_Quantity]]</f>
        <v>560</v>
      </c>
      <c r="G89" s="2" t="str">
        <f>IF(Table1[[#This Row],[Stock_Quantity]]&lt;50,"Low",IF(Table1[[#This Row],[Stock_Quantity]]&lt;=150,"Medium","High"))</f>
        <v>Low</v>
      </c>
    </row>
    <row r="90" spans="1:7" x14ac:dyDescent="0.3">
      <c r="A90" s="4">
        <v>89</v>
      </c>
      <c r="B90" s="5" t="s">
        <v>94</v>
      </c>
      <c r="C90" s="5" t="s">
        <v>5</v>
      </c>
      <c r="D90" s="4">
        <v>12</v>
      </c>
      <c r="E90" s="4">
        <v>300</v>
      </c>
      <c r="F90" s="2">
        <f>Table1[[#This Row],[Price]]*Table1[[#This Row],[Stock_Quantity]]</f>
        <v>3600</v>
      </c>
      <c r="G90" s="2" t="str">
        <f>IF(Table1[[#This Row],[Stock_Quantity]]&lt;50,"Low",IF(Table1[[#This Row],[Stock_Quantity]]&lt;=150,"Medium","High"))</f>
        <v>High</v>
      </c>
    </row>
    <row r="91" spans="1:7" x14ac:dyDescent="0.3">
      <c r="A91" s="4">
        <v>90</v>
      </c>
      <c r="B91" s="5" t="s">
        <v>95</v>
      </c>
      <c r="C91" s="5" t="s">
        <v>11</v>
      </c>
      <c r="D91" s="4">
        <v>150</v>
      </c>
      <c r="E91" s="4">
        <v>10</v>
      </c>
      <c r="F91" s="2">
        <f>Table1[[#This Row],[Price]]*Table1[[#This Row],[Stock_Quantity]]</f>
        <v>1500</v>
      </c>
      <c r="G91" s="2" t="str">
        <f>IF(Table1[[#This Row],[Stock_Quantity]]&lt;50,"Low",IF(Table1[[#This Row],[Stock_Quantity]]&lt;=150,"Medium","High"))</f>
        <v>Low</v>
      </c>
    </row>
    <row r="92" spans="1:7" x14ac:dyDescent="0.3">
      <c r="A92" s="4">
        <v>91</v>
      </c>
      <c r="B92" s="5" t="s">
        <v>96</v>
      </c>
      <c r="C92" s="5" t="s">
        <v>3</v>
      </c>
      <c r="D92" s="4">
        <v>35</v>
      </c>
      <c r="E92" s="4">
        <v>55</v>
      </c>
      <c r="F92" s="2">
        <f>Table1[[#This Row],[Price]]*Table1[[#This Row],[Stock_Quantity]]</f>
        <v>1925</v>
      </c>
      <c r="G92" s="2" t="str">
        <f>IF(Table1[[#This Row],[Stock_Quantity]]&lt;50,"Low",IF(Table1[[#This Row],[Stock_Quantity]]&lt;=150,"Medium","High"))</f>
        <v>Medium</v>
      </c>
    </row>
    <row r="93" spans="1:7" x14ac:dyDescent="0.3">
      <c r="A93" s="4">
        <v>92</v>
      </c>
      <c r="B93" s="5" t="s">
        <v>97</v>
      </c>
      <c r="C93" s="5" t="s">
        <v>1</v>
      </c>
      <c r="D93" s="4">
        <v>4.5</v>
      </c>
      <c r="E93" s="4">
        <v>150</v>
      </c>
      <c r="F93" s="2">
        <f>Table1[[#This Row],[Price]]*Table1[[#This Row],[Stock_Quantity]]</f>
        <v>675</v>
      </c>
      <c r="G93" s="2" t="str">
        <f>IF(Table1[[#This Row],[Stock_Quantity]]&lt;50,"Low",IF(Table1[[#This Row],[Stock_Quantity]]&lt;=150,"Medium","High"))</f>
        <v>Medium</v>
      </c>
    </row>
    <row r="94" spans="1:7" x14ac:dyDescent="0.3">
      <c r="A94" s="4">
        <v>93</v>
      </c>
      <c r="B94" s="5" t="s">
        <v>98</v>
      </c>
      <c r="C94" s="5" t="s">
        <v>7</v>
      </c>
      <c r="D94" s="4">
        <v>15</v>
      </c>
      <c r="E94" s="4">
        <v>80</v>
      </c>
      <c r="F94" s="2">
        <f>Table1[[#This Row],[Price]]*Table1[[#This Row],[Stock_Quantity]]</f>
        <v>1200</v>
      </c>
      <c r="G94" s="2" t="str">
        <f>IF(Table1[[#This Row],[Stock_Quantity]]&lt;50,"Low",IF(Table1[[#This Row],[Stock_Quantity]]&lt;=150,"Medium","High"))</f>
        <v>Medium</v>
      </c>
    </row>
    <row r="95" spans="1:7" x14ac:dyDescent="0.3">
      <c r="A95" s="4">
        <v>94</v>
      </c>
      <c r="B95" s="5" t="s">
        <v>99</v>
      </c>
      <c r="C95" s="5" t="s">
        <v>19</v>
      </c>
      <c r="D95" s="4">
        <v>3.5</v>
      </c>
      <c r="E95" s="4">
        <v>120</v>
      </c>
      <c r="F95" s="2">
        <f>Table1[[#This Row],[Price]]*Table1[[#This Row],[Stock_Quantity]]</f>
        <v>420</v>
      </c>
      <c r="G95" s="2" t="str">
        <f>IF(Table1[[#This Row],[Stock_Quantity]]&lt;50,"Low",IF(Table1[[#This Row],[Stock_Quantity]]&lt;=150,"Medium","High"))</f>
        <v>Medium</v>
      </c>
    </row>
    <row r="96" spans="1:7" x14ac:dyDescent="0.3">
      <c r="A96" s="4">
        <v>95</v>
      </c>
      <c r="B96" s="5" t="s">
        <v>100</v>
      </c>
      <c r="C96" s="5" t="s">
        <v>3</v>
      </c>
      <c r="D96" s="4">
        <v>15</v>
      </c>
      <c r="E96" s="4">
        <v>140</v>
      </c>
      <c r="F96" s="2">
        <f>Table1[[#This Row],[Price]]*Table1[[#This Row],[Stock_Quantity]]</f>
        <v>2100</v>
      </c>
      <c r="G96" s="2" t="str">
        <f>IF(Table1[[#This Row],[Stock_Quantity]]&lt;50,"Low",IF(Table1[[#This Row],[Stock_Quantity]]&lt;=150,"Medium","High"))</f>
        <v>Medium</v>
      </c>
    </row>
    <row r="97" spans="1:7" x14ac:dyDescent="0.3">
      <c r="A97" s="4">
        <v>96</v>
      </c>
      <c r="B97" s="5" t="s">
        <v>101</v>
      </c>
      <c r="C97" s="5" t="s">
        <v>1</v>
      </c>
      <c r="D97" s="4">
        <v>1.8</v>
      </c>
      <c r="E97" s="4">
        <v>250</v>
      </c>
      <c r="F97" s="2">
        <f>Table1[[#This Row],[Price]]*Table1[[#This Row],[Stock_Quantity]]</f>
        <v>450</v>
      </c>
      <c r="G97" s="2" t="str">
        <f>IF(Table1[[#This Row],[Stock_Quantity]]&lt;50,"Low",IF(Table1[[#This Row],[Stock_Quantity]]&lt;=150,"Medium","High"))</f>
        <v>High</v>
      </c>
    </row>
    <row r="98" spans="1:7" x14ac:dyDescent="0.3">
      <c r="A98" s="4">
        <v>97</v>
      </c>
      <c r="B98" s="5" t="s">
        <v>102</v>
      </c>
      <c r="C98" s="5" t="s">
        <v>7</v>
      </c>
      <c r="D98" s="4">
        <v>20</v>
      </c>
      <c r="E98" s="4">
        <v>45</v>
      </c>
      <c r="F98" s="2">
        <f>Table1[[#This Row],[Price]]*Table1[[#This Row],[Stock_Quantity]]</f>
        <v>900</v>
      </c>
      <c r="G98" s="2" t="str">
        <f>IF(Table1[[#This Row],[Stock_Quantity]]&lt;50,"Low",IF(Table1[[#This Row],[Stock_Quantity]]&lt;=150,"Medium","High"))</f>
        <v>Low</v>
      </c>
    </row>
    <row r="99" spans="1:7" x14ac:dyDescent="0.3">
      <c r="A99" s="4">
        <v>98</v>
      </c>
      <c r="B99" s="5" t="s">
        <v>103</v>
      </c>
      <c r="C99" s="5" t="s">
        <v>5</v>
      </c>
      <c r="D99" s="4">
        <v>40</v>
      </c>
      <c r="E99" s="4">
        <v>60</v>
      </c>
      <c r="F99" s="2">
        <f>Table1[[#This Row],[Price]]*Table1[[#This Row],[Stock_Quantity]]</f>
        <v>2400</v>
      </c>
      <c r="G99" s="2" t="str">
        <f>IF(Table1[[#This Row],[Stock_Quantity]]&lt;50,"Low",IF(Table1[[#This Row],[Stock_Quantity]]&lt;=150,"Medium","High"))</f>
        <v>Medium</v>
      </c>
    </row>
    <row r="100" spans="1:7" x14ac:dyDescent="0.3">
      <c r="A100" s="4">
        <v>99</v>
      </c>
      <c r="B100" s="5" t="s">
        <v>104</v>
      </c>
      <c r="C100" s="5" t="s">
        <v>11</v>
      </c>
      <c r="D100" s="4">
        <v>85</v>
      </c>
      <c r="E100" s="4">
        <v>15</v>
      </c>
      <c r="F100" s="2">
        <f>Table1[[#This Row],[Price]]*Table1[[#This Row],[Stock_Quantity]]</f>
        <v>1275</v>
      </c>
      <c r="G100" s="2" t="str">
        <f>IF(Table1[[#This Row],[Stock_Quantity]]&lt;50,"Low",IF(Table1[[#This Row],[Stock_Quantity]]&lt;=150,"Medium","High"))</f>
        <v>Low</v>
      </c>
    </row>
    <row r="101" spans="1:7" x14ac:dyDescent="0.3">
      <c r="A101" s="4">
        <v>100</v>
      </c>
      <c r="B101" s="5" t="s">
        <v>105</v>
      </c>
      <c r="C101" s="5" t="s">
        <v>19</v>
      </c>
      <c r="D101" s="4">
        <v>120</v>
      </c>
      <c r="E101" s="4">
        <v>8</v>
      </c>
      <c r="F101" s="2">
        <f>Table1[[#This Row],[Price]]*Table1[[#This Row],[Stock_Quantity]]</f>
        <v>960</v>
      </c>
      <c r="G101" s="2" t="str">
        <f>IF(Table1[[#This Row],[Stock_Quantity]]&lt;50,"Low",IF(Table1[[#This Row],[Stock_Quantity]]&lt;=150,"Medium","High"))</f>
        <v>Low</v>
      </c>
    </row>
    <row r="102" spans="1:7" x14ac:dyDescent="0.3">
      <c r="A102" s="4">
        <v>101</v>
      </c>
      <c r="B102" s="5" t="s">
        <v>106</v>
      </c>
      <c r="C102" s="5" t="s">
        <v>3</v>
      </c>
      <c r="D102" s="4">
        <v>149</v>
      </c>
      <c r="E102" s="4">
        <v>30</v>
      </c>
      <c r="F102" s="2">
        <f>Table1[[#This Row],[Price]]*Table1[[#This Row],[Stock_Quantity]]</f>
        <v>4470</v>
      </c>
      <c r="G102" s="2" t="str">
        <f>IF(Table1[[#This Row],[Stock_Quantity]]&lt;50,"Low",IF(Table1[[#This Row],[Stock_Quantity]]&lt;=150,"Medium","High"))</f>
        <v>Low</v>
      </c>
    </row>
    <row r="103" spans="1:7" x14ac:dyDescent="0.3">
      <c r="A103" s="4">
        <v>102</v>
      </c>
      <c r="B103" s="5" t="s">
        <v>107</v>
      </c>
      <c r="C103" s="5" t="s">
        <v>1</v>
      </c>
      <c r="D103" s="4">
        <v>3.5</v>
      </c>
      <c r="E103" s="4">
        <v>200</v>
      </c>
      <c r="F103" s="2">
        <f>Table1[[#This Row],[Price]]*Table1[[#This Row],[Stock_Quantity]]</f>
        <v>700</v>
      </c>
      <c r="G103" s="2" t="str">
        <f>IF(Table1[[#This Row],[Stock_Quantity]]&lt;50,"Low",IF(Table1[[#This Row],[Stock_Quantity]]&lt;=150,"Medium","High"))</f>
        <v>High</v>
      </c>
    </row>
    <row r="104" spans="1:7" x14ac:dyDescent="0.3">
      <c r="A104" s="4">
        <v>103</v>
      </c>
      <c r="B104" s="5" t="s">
        <v>108</v>
      </c>
      <c r="C104" s="5" t="s">
        <v>7</v>
      </c>
      <c r="D104" s="4">
        <v>15.99</v>
      </c>
      <c r="E104" s="4">
        <v>60</v>
      </c>
      <c r="F104" s="2">
        <f>Table1[[#This Row],[Price]]*Table1[[#This Row],[Stock_Quantity]]</f>
        <v>959.4</v>
      </c>
      <c r="G104" s="2" t="str">
        <f>IF(Table1[[#This Row],[Stock_Quantity]]&lt;50,"Low",IF(Table1[[#This Row],[Stock_Quantity]]&lt;=150,"Medium","High"))</f>
        <v>Medium</v>
      </c>
    </row>
    <row r="105" spans="1:7" x14ac:dyDescent="0.3">
      <c r="A105" s="4">
        <v>104</v>
      </c>
      <c r="B105" s="5" t="s">
        <v>109</v>
      </c>
      <c r="C105" s="5" t="s">
        <v>5</v>
      </c>
      <c r="D105" s="4">
        <v>38</v>
      </c>
      <c r="E105" s="4">
        <v>75</v>
      </c>
      <c r="F105" s="2">
        <f>Table1[[#This Row],[Price]]*Table1[[#This Row],[Stock_Quantity]]</f>
        <v>2850</v>
      </c>
      <c r="G105" s="2" t="str">
        <f>IF(Table1[[#This Row],[Stock_Quantity]]&lt;50,"Low",IF(Table1[[#This Row],[Stock_Quantity]]&lt;=150,"Medium","High"))</f>
        <v>Medium</v>
      </c>
    </row>
    <row r="106" spans="1:7" x14ac:dyDescent="0.3">
      <c r="A106" s="4">
        <v>105</v>
      </c>
      <c r="B106" s="5" t="s">
        <v>110</v>
      </c>
      <c r="C106" s="5" t="s">
        <v>11</v>
      </c>
      <c r="D106" s="4">
        <v>50</v>
      </c>
      <c r="E106" s="4">
        <v>20</v>
      </c>
      <c r="F106" s="2">
        <f>Table1[[#This Row],[Price]]*Table1[[#This Row],[Stock_Quantity]]</f>
        <v>1000</v>
      </c>
      <c r="G106" s="2" t="str">
        <f>IF(Table1[[#This Row],[Stock_Quantity]]&lt;50,"Low",IF(Table1[[#This Row],[Stock_Quantity]]&lt;=150,"Medium","High"))</f>
        <v>Low</v>
      </c>
    </row>
    <row r="107" spans="1:7" x14ac:dyDescent="0.3">
      <c r="A107" s="4">
        <v>106</v>
      </c>
      <c r="B107" s="5" t="s">
        <v>111</v>
      </c>
      <c r="C107" s="5" t="s">
        <v>19</v>
      </c>
      <c r="D107" s="4">
        <v>8</v>
      </c>
      <c r="E107" s="4">
        <v>45</v>
      </c>
      <c r="F107" s="2">
        <f>Table1[[#This Row],[Price]]*Table1[[#This Row],[Stock_Quantity]]</f>
        <v>360</v>
      </c>
      <c r="G107" s="2" t="str">
        <f>IF(Table1[[#This Row],[Stock_Quantity]]&lt;50,"Low",IF(Table1[[#This Row],[Stock_Quantity]]&lt;=150,"Medium","High"))</f>
        <v>Low</v>
      </c>
    </row>
    <row r="108" spans="1:7" x14ac:dyDescent="0.3">
      <c r="A108" s="4">
        <v>107</v>
      </c>
      <c r="B108" s="5" t="s">
        <v>112</v>
      </c>
      <c r="C108" s="5" t="s">
        <v>3</v>
      </c>
      <c r="D108" s="4">
        <v>99</v>
      </c>
      <c r="E108" s="4">
        <v>25</v>
      </c>
      <c r="F108" s="2">
        <f>Table1[[#This Row],[Price]]*Table1[[#This Row],[Stock_Quantity]]</f>
        <v>2475</v>
      </c>
      <c r="G108" s="2" t="str">
        <f>IF(Table1[[#This Row],[Stock_Quantity]]&lt;50,"Low",IF(Table1[[#This Row],[Stock_Quantity]]&lt;=150,"Medium","High"))</f>
        <v>Low</v>
      </c>
    </row>
    <row r="109" spans="1:7" x14ac:dyDescent="0.3">
      <c r="A109" s="4">
        <v>108</v>
      </c>
      <c r="B109" s="5" t="s">
        <v>113</v>
      </c>
      <c r="C109" s="5" t="s">
        <v>1</v>
      </c>
      <c r="D109" s="4">
        <v>3.8</v>
      </c>
      <c r="E109" s="4">
        <v>90</v>
      </c>
      <c r="F109" s="2">
        <f>Table1[[#This Row],[Price]]*Table1[[#This Row],[Stock_Quantity]]</f>
        <v>342</v>
      </c>
      <c r="G109" s="2" t="str">
        <f>IF(Table1[[#This Row],[Stock_Quantity]]&lt;50,"Low",IF(Table1[[#This Row],[Stock_Quantity]]&lt;=150,"Medium","High"))</f>
        <v>Medium</v>
      </c>
    </row>
    <row r="110" spans="1:7" x14ac:dyDescent="0.3">
      <c r="A110" s="4">
        <v>109</v>
      </c>
      <c r="B110" s="5" t="s">
        <v>114</v>
      </c>
      <c r="C110" s="5" t="s">
        <v>7</v>
      </c>
      <c r="D110" s="4">
        <v>22</v>
      </c>
      <c r="E110" s="4">
        <v>40</v>
      </c>
      <c r="F110" s="2">
        <f>Table1[[#This Row],[Price]]*Table1[[#This Row],[Stock_Quantity]]</f>
        <v>880</v>
      </c>
      <c r="G110" s="2" t="str">
        <f>IF(Table1[[#This Row],[Stock_Quantity]]&lt;50,"Low",IF(Table1[[#This Row],[Stock_Quantity]]&lt;=150,"Medium","High"))</f>
        <v>Low</v>
      </c>
    </row>
    <row r="111" spans="1:7" x14ac:dyDescent="0.3">
      <c r="A111" s="4">
        <v>110</v>
      </c>
      <c r="B111" s="5" t="s">
        <v>115</v>
      </c>
      <c r="C111" s="5" t="s">
        <v>7</v>
      </c>
      <c r="D111" s="4">
        <v>18</v>
      </c>
      <c r="E111" s="4">
        <v>100</v>
      </c>
      <c r="F111" s="2">
        <f>Table1[[#This Row],[Price]]*Table1[[#This Row],[Stock_Quantity]]</f>
        <v>1800</v>
      </c>
      <c r="G111" s="2" t="str">
        <f>IF(Table1[[#This Row],[Stock_Quantity]]&lt;50,"Low",IF(Table1[[#This Row],[Stock_Quantity]]&lt;=150,"Medium","High"))</f>
        <v>Medium</v>
      </c>
    </row>
    <row r="112" spans="1:7" x14ac:dyDescent="0.3">
      <c r="A112" s="4">
        <v>111</v>
      </c>
      <c r="B112" s="5" t="s">
        <v>116</v>
      </c>
      <c r="C112" s="5" t="s">
        <v>11</v>
      </c>
      <c r="D112" s="4">
        <v>28</v>
      </c>
      <c r="E112" s="4">
        <v>65</v>
      </c>
      <c r="F112" s="2">
        <f>Table1[[#This Row],[Price]]*Table1[[#This Row],[Stock_Quantity]]</f>
        <v>1820</v>
      </c>
      <c r="G112" s="2" t="str">
        <f>IF(Table1[[#This Row],[Stock_Quantity]]&lt;50,"Low",IF(Table1[[#This Row],[Stock_Quantity]]&lt;=150,"Medium","High"))</f>
        <v>Medium</v>
      </c>
    </row>
    <row r="113" spans="1:7" x14ac:dyDescent="0.3">
      <c r="A113" s="4">
        <v>112</v>
      </c>
      <c r="B113" s="5" t="s">
        <v>117</v>
      </c>
      <c r="C113" s="5" t="s">
        <v>19</v>
      </c>
      <c r="D113" s="4">
        <v>2.5</v>
      </c>
      <c r="E113" s="4">
        <v>200</v>
      </c>
      <c r="F113" s="2">
        <f>Table1[[#This Row],[Price]]*Table1[[#This Row],[Stock_Quantity]]</f>
        <v>500</v>
      </c>
      <c r="G113" s="2" t="str">
        <f>IF(Table1[[#This Row],[Stock_Quantity]]&lt;50,"Low",IF(Table1[[#This Row],[Stock_Quantity]]&lt;=150,"Medium","High"))</f>
        <v>High</v>
      </c>
    </row>
    <row r="114" spans="1:7" x14ac:dyDescent="0.3">
      <c r="A114" s="4">
        <v>113</v>
      </c>
      <c r="B114" s="5" t="s">
        <v>118</v>
      </c>
      <c r="C114" s="5" t="s">
        <v>3</v>
      </c>
      <c r="D114" s="4">
        <v>45</v>
      </c>
      <c r="E114" s="4">
        <v>20</v>
      </c>
      <c r="F114" s="2">
        <f>Table1[[#This Row],[Price]]*Table1[[#This Row],[Stock_Quantity]]</f>
        <v>900</v>
      </c>
      <c r="G114" s="2" t="str">
        <f>IF(Table1[[#This Row],[Stock_Quantity]]&lt;50,"Low",IF(Table1[[#This Row],[Stock_Quantity]]&lt;=150,"Medium","High"))</f>
        <v>Low</v>
      </c>
    </row>
    <row r="115" spans="1:7" x14ac:dyDescent="0.3">
      <c r="A115" s="4">
        <v>114</v>
      </c>
      <c r="B115" s="5" t="s">
        <v>119</v>
      </c>
      <c r="C115" s="5" t="s">
        <v>1</v>
      </c>
      <c r="D115" s="4">
        <v>5</v>
      </c>
      <c r="E115" s="4">
        <v>120</v>
      </c>
      <c r="F115" s="2">
        <f>Table1[[#This Row],[Price]]*Table1[[#This Row],[Stock_Quantity]]</f>
        <v>600</v>
      </c>
      <c r="G115" s="2" t="str">
        <f>IF(Table1[[#This Row],[Stock_Quantity]]&lt;50,"Low",IF(Table1[[#This Row],[Stock_Quantity]]&lt;=150,"Medium","High"))</f>
        <v>Medium</v>
      </c>
    </row>
    <row r="116" spans="1:7" x14ac:dyDescent="0.3">
      <c r="A116" s="4">
        <v>115</v>
      </c>
      <c r="B116" s="5" t="s">
        <v>120</v>
      </c>
      <c r="C116" s="5" t="s">
        <v>7</v>
      </c>
      <c r="D116" s="4">
        <v>15</v>
      </c>
      <c r="E116" s="4">
        <v>150</v>
      </c>
      <c r="F116" s="2">
        <f>Table1[[#This Row],[Price]]*Table1[[#This Row],[Stock_Quantity]]</f>
        <v>2250</v>
      </c>
      <c r="G116" s="2" t="str">
        <f>IF(Table1[[#This Row],[Stock_Quantity]]&lt;50,"Low",IF(Table1[[#This Row],[Stock_Quantity]]&lt;=150,"Medium","High"))</f>
        <v>Medium</v>
      </c>
    </row>
    <row r="117" spans="1:7" x14ac:dyDescent="0.3">
      <c r="A117" s="4">
        <v>116</v>
      </c>
      <c r="B117" s="5" t="s">
        <v>121</v>
      </c>
      <c r="C117" s="5" t="s">
        <v>5</v>
      </c>
      <c r="D117" s="4">
        <v>55</v>
      </c>
      <c r="E117" s="4">
        <v>40</v>
      </c>
      <c r="F117" s="2">
        <f>Table1[[#This Row],[Price]]*Table1[[#This Row],[Stock_Quantity]]</f>
        <v>2200</v>
      </c>
      <c r="G117" s="2" t="str">
        <f>IF(Table1[[#This Row],[Stock_Quantity]]&lt;50,"Low",IF(Table1[[#This Row],[Stock_Quantity]]&lt;=150,"Medium","High"))</f>
        <v>Low</v>
      </c>
    </row>
    <row r="118" spans="1:7" x14ac:dyDescent="0.3">
      <c r="A118" s="4">
        <v>117</v>
      </c>
      <c r="B118" s="5" t="s">
        <v>122</v>
      </c>
      <c r="C118" s="5" t="s">
        <v>11</v>
      </c>
      <c r="D118" s="4">
        <v>20</v>
      </c>
      <c r="E118" s="4">
        <v>35</v>
      </c>
      <c r="F118" s="2">
        <f>Table1[[#This Row],[Price]]*Table1[[#This Row],[Stock_Quantity]]</f>
        <v>700</v>
      </c>
      <c r="G118" s="2" t="str">
        <f>IF(Table1[[#This Row],[Stock_Quantity]]&lt;50,"Low",IF(Table1[[#This Row],[Stock_Quantity]]&lt;=150,"Medium","High"))</f>
        <v>Low</v>
      </c>
    </row>
    <row r="119" spans="1:7" x14ac:dyDescent="0.3">
      <c r="A119" s="4">
        <v>118</v>
      </c>
      <c r="B119" s="5" t="s">
        <v>123</v>
      </c>
      <c r="C119" s="5" t="s">
        <v>19</v>
      </c>
      <c r="D119" s="4">
        <v>1.5</v>
      </c>
      <c r="E119" s="4">
        <v>300</v>
      </c>
      <c r="F119" s="2">
        <f>Table1[[#This Row],[Price]]*Table1[[#This Row],[Stock_Quantity]]</f>
        <v>450</v>
      </c>
      <c r="G119" s="2" t="str">
        <f>IF(Table1[[#This Row],[Stock_Quantity]]&lt;50,"Low",IF(Table1[[#This Row],[Stock_Quantity]]&lt;=150,"Medium","High"))</f>
        <v>High</v>
      </c>
    </row>
    <row r="120" spans="1:7" x14ac:dyDescent="0.3">
      <c r="A120" s="4">
        <v>119</v>
      </c>
      <c r="B120" s="5" t="s">
        <v>124</v>
      </c>
      <c r="C120" s="5" t="s">
        <v>3</v>
      </c>
      <c r="D120" s="4">
        <v>12.99</v>
      </c>
      <c r="E120" s="4">
        <v>110</v>
      </c>
      <c r="F120" s="2">
        <f>Table1[[#This Row],[Price]]*Table1[[#This Row],[Stock_Quantity]]</f>
        <v>1428.9</v>
      </c>
      <c r="G120" s="2" t="str">
        <f>IF(Table1[[#This Row],[Stock_Quantity]]&lt;50,"Low",IF(Table1[[#This Row],[Stock_Quantity]]&lt;=150,"Medium","High"))</f>
        <v>Medium</v>
      </c>
    </row>
    <row r="121" spans="1:7" x14ac:dyDescent="0.3">
      <c r="A121" s="4">
        <v>120</v>
      </c>
      <c r="B121" s="5" t="s">
        <v>125</v>
      </c>
      <c r="C121" s="5" t="s">
        <v>1</v>
      </c>
      <c r="D121" s="4">
        <v>2.5</v>
      </c>
      <c r="E121" s="4">
        <v>250</v>
      </c>
      <c r="F121" s="2">
        <f>Table1[[#This Row],[Price]]*Table1[[#This Row],[Stock_Quantity]]</f>
        <v>625</v>
      </c>
      <c r="G121" s="2" t="str">
        <f>IF(Table1[[#This Row],[Stock_Quantity]]&lt;50,"Low",IF(Table1[[#This Row],[Stock_Quantity]]&lt;=150,"Medium","High"))</f>
        <v>High</v>
      </c>
    </row>
    <row r="122" spans="1:7" x14ac:dyDescent="0.3">
      <c r="A122" s="4">
        <v>121</v>
      </c>
      <c r="B122" s="5" t="s">
        <v>126</v>
      </c>
      <c r="C122" s="5" t="s">
        <v>7</v>
      </c>
      <c r="D122" s="4">
        <v>3</v>
      </c>
      <c r="E122" s="4">
        <v>300</v>
      </c>
      <c r="F122" s="2">
        <f>Table1[[#This Row],[Price]]*Table1[[#This Row],[Stock_Quantity]]</f>
        <v>900</v>
      </c>
      <c r="G122" s="2" t="str">
        <f>IF(Table1[[#This Row],[Stock_Quantity]]&lt;50,"Low",IF(Table1[[#This Row],[Stock_Quantity]]&lt;=150,"Medium","High"))</f>
        <v>High</v>
      </c>
    </row>
    <row r="123" spans="1:7" x14ac:dyDescent="0.3">
      <c r="A123" s="4">
        <v>122</v>
      </c>
      <c r="B123" s="5" t="s">
        <v>127</v>
      </c>
      <c r="C123" s="5" t="s">
        <v>5</v>
      </c>
      <c r="D123" s="4">
        <v>14</v>
      </c>
      <c r="E123" s="4">
        <v>90</v>
      </c>
      <c r="F123" s="2">
        <f>Table1[[#This Row],[Price]]*Table1[[#This Row],[Stock_Quantity]]</f>
        <v>1260</v>
      </c>
      <c r="G123" s="2" t="str">
        <f>IF(Table1[[#This Row],[Stock_Quantity]]&lt;50,"Low",IF(Table1[[#This Row],[Stock_Quantity]]&lt;=150,"Medium","High"))</f>
        <v>Medium</v>
      </c>
    </row>
    <row r="124" spans="1:7" x14ac:dyDescent="0.3">
      <c r="A124" s="4">
        <v>123</v>
      </c>
      <c r="B124" s="5" t="s">
        <v>128</v>
      </c>
      <c r="C124" s="5" t="s">
        <v>11</v>
      </c>
      <c r="D124" s="4">
        <v>15</v>
      </c>
      <c r="E124" s="4">
        <v>80</v>
      </c>
      <c r="F124" s="2">
        <f>Table1[[#This Row],[Price]]*Table1[[#This Row],[Stock_Quantity]]</f>
        <v>1200</v>
      </c>
      <c r="G124" s="2" t="str">
        <f>IF(Table1[[#This Row],[Stock_Quantity]]&lt;50,"Low",IF(Table1[[#This Row],[Stock_Quantity]]&lt;=150,"Medium","High"))</f>
        <v>Medium</v>
      </c>
    </row>
    <row r="125" spans="1:7" x14ac:dyDescent="0.3">
      <c r="A125" s="4">
        <v>124</v>
      </c>
      <c r="B125" s="5" t="s">
        <v>129</v>
      </c>
      <c r="C125" s="5" t="s">
        <v>19</v>
      </c>
      <c r="D125" s="4">
        <v>5</v>
      </c>
      <c r="E125" s="4">
        <v>50</v>
      </c>
      <c r="F125" s="2">
        <f>Table1[[#This Row],[Price]]*Table1[[#This Row],[Stock_Quantity]]</f>
        <v>250</v>
      </c>
      <c r="G125" s="2" t="str">
        <f>IF(Table1[[#This Row],[Stock_Quantity]]&lt;50,"Low",IF(Table1[[#This Row],[Stock_Quantity]]&lt;=150,"Medium","High"))</f>
        <v>Medium</v>
      </c>
    </row>
    <row r="126" spans="1:7" x14ac:dyDescent="0.3">
      <c r="A126" s="4">
        <v>125</v>
      </c>
      <c r="B126" s="5" t="s">
        <v>130</v>
      </c>
      <c r="C126" s="5" t="s">
        <v>3</v>
      </c>
      <c r="D126" s="4">
        <v>80</v>
      </c>
      <c r="E126" s="4">
        <v>15</v>
      </c>
      <c r="F126" s="2">
        <f>Table1[[#This Row],[Price]]*Table1[[#This Row],[Stock_Quantity]]</f>
        <v>1200</v>
      </c>
      <c r="G126" s="2" t="str">
        <f>IF(Table1[[#This Row],[Stock_Quantity]]&lt;50,"Low",IF(Table1[[#This Row],[Stock_Quantity]]&lt;=150,"Medium","High"))</f>
        <v>Low</v>
      </c>
    </row>
    <row r="127" spans="1:7" x14ac:dyDescent="0.3">
      <c r="A127" s="4">
        <v>126</v>
      </c>
      <c r="B127" s="5" t="s">
        <v>131</v>
      </c>
      <c r="C127" s="5" t="s">
        <v>1</v>
      </c>
      <c r="D127" s="4">
        <v>1.5</v>
      </c>
      <c r="E127" s="4">
        <v>400</v>
      </c>
      <c r="F127" s="2">
        <f>Table1[[#This Row],[Price]]*Table1[[#This Row],[Stock_Quantity]]</f>
        <v>600</v>
      </c>
      <c r="G127" s="2" t="str">
        <f>IF(Table1[[#This Row],[Stock_Quantity]]&lt;50,"Low",IF(Table1[[#This Row],[Stock_Quantity]]&lt;=150,"Medium","High"))</f>
        <v>High</v>
      </c>
    </row>
    <row r="128" spans="1:7" x14ac:dyDescent="0.3">
      <c r="A128" s="4">
        <v>127</v>
      </c>
      <c r="B128" s="5" t="s">
        <v>132</v>
      </c>
      <c r="C128" s="5" t="s">
        <v>7</v>
      </c>
      <c r="D128" s="4">
        <v>25</v>
      </c>
      <c r="E128" s="4">
        <v>45</v>
      </c>
      <c r="F128" s="2">
        <f>Table1[[#This Row],[Price]]*Table1[[#This Row],[Stock_Quantity]]</f>
        <v>1125</v>
      </c>
      <c r="G128" s="2" t="str">
        <f>IF(Table1[[#This Row],[Stock_Quantity]]&lt;50,"Low",IF(Table1[[#This Row],[Stock_Quantity]]&lt;=150,"Medium","High"))</f>
        <v>Low</v>
      </c>
    </row>
    <row r="129" spans="1:7" x14ac:dyDescent="0.3">
      <c r="A129" s="4">
        <v>128</v>
      </c>
      <c r="B129" s="5" t="s">
        <v>133</v>
      </c>
      <c r="C129" s="5" t="s">
        <v>5</v>
      </c>
      <c r="D129" s="4">
        <v>28</v>
      </c>
      <c r="E129" s="4">
        <v>60</v>
      </c>
      <c r="F129" s="2">
        <f>Table1[[#This Row],[Price]]*Table1[[#This Row],[Stock_Quantity]]</f>
        <v>1680</v>
      </c>
      <c r="G129" s="2" t="str">
        <f>IF(Table1[[#This Row],[Stock_Quantity]]&lt;50,"Low",IF(Table1[[#This Row],[Stock_Quantity]]&lt;=150,"Medium","High"))</f>
        <v>Medium</v>
      </c>
    </row>
    <row r="130" spans="1:7" x14ac:dyDescent="0.3">
      <c r="A130" s="4">
        <v>129</v>
      </c>
      <c r="B130" s="5" t="s">
        <v>134</v>
      </c>
      <c r="C130" s="5" t="s">
        <v>11</v>
      </c>
      <c r="D130" s="4">
        <v>65</v>
      </c>
      <c r="E130" s="4">
        <v>20</v>
      </c>
      <c r="F130" s="2">
        <f>Table1[[#This Row],[Price]]*Table1[[#This Row],[Stock_Quantity]]</f>
        <v>1300</v>
      </c>
      <c r="G130" s="2" t="str">
        <f>IF(Table1[[#This Row],[Stock_Quantity]]&lt;50,"Low",IF(Table1[[#This Row],[Stock_Quantity]]&lt;=150,"Medium","High"))</f>
        <v>Low</v>
      </c>
    </row>
    <row r="131" spans="1:7" x14ac:dyDescent="0.3">
      <c r="A131" s="4">
        <v>130</v>
      </c>
      <c r="B131" s="5" t="s">
        <v>135</v>
      </c>
      <c r="C131" s="5" t="s">
        <v>19</v>
      </c>
      <c r="D131" s="4">
        <v>10</v>
      </c>
      <c r="E131" s="4">
        <v>100</v>
      </c>
      <c r="F131" s="2">
        <f>Table1[[#This Row],[Price]]*Table1[[#This Row],[Stock_Quantity]]</f>
        <v>1000</v>
      </c>
      <c r="G131" s="2" t="str">
        <f>IF(Table1[[#This Row],[Stock_Quantity]]&lt;50,"Low",IF(Table1[[#This Row],[Stock_Quantity]]&lt;=150,"Medium","High"))</f>
        <v>Medium</v>
      </c>
    </row>
    <row r="132" spans="1:7" x14ac:dyDescent="0.3">
      <c r="A132" s="4">
        <v>131</v>
      </c>
      <c r="B132" s="5" t="s">
        <v>136</v>
      </c>
      <c r="C132" s="5" t="s">
        <v>3</v>
      </c>
      <c r="D132" s="4">
        <v>85</v>
      </c>
      <c r="E132" s="4">
        <v>25</v>
      </c>
      <c r="F132" s="2">
        <f>Table1[[#This Row],[Price]]*Table1[[#This Row],[Stock_Quantity]]</f>
        <v>2125</v>
      </c>
      <c r="G132" s="2" t="str">
        <f>IF(Table1[[#This Row],[Stock_Quantity]]&lt;50,"Low",IF(Table1[[#This Row],[Stock_Quantity]]&lt;=150,"Medium","High"))</f>
        <v>Low</v>
      </c>
    </row>
    <row r="133" spans="1:7" x14ac:dyDescent="0.3">
      <c r="A133" s="4">
        <v>132</v>
      </c>
      <c r="B133" s="5" t="s">
        <v>137</v>
      </c>
      <c r="C133" s="5" t="s">
        <v>1</v>
      </c>
      <c r="D133" s="4">
        <v>3</v>
      </c>
      <c r="E133" s="4">
        <v>180</v>
      </c>
      <c r="F133" s="2">
        <f>Table1[[#This Row],[Price]]*Table1[[#This Row],[Stock_Quantity]]</f>
        <v>540</v>
      </c>
      <c r="G133" s="2" t="str">
        <f>IF(Table1[[#This Row],[Stock_Quantity]]&lt;50,"Low",IF(Table1[[#This Row],[Stock_Quantity]]&lt;=150,"Medium","High"))</f>
        <v>High</v>
      </c>
    </row>
    <row r="134" spans="1:7" x14ac:dyDescent="0.3">
      <c r="A134" s="4">
        <v>133</v>
      </c>
      <c r="B134" s="5" t="s">
        <v>138</v>
      </c>
      <c r="C134" s="5" t="s">
        <v>7</v>
      </c>
      <c r="D134" s="4">
        <v>12</v>
      </c>
      <c r="E134" s="4">
        <v>110</v>
      </c>
      <c r="F134" s="2">
        <f>Table1[[#This Row],[Price]]*Table1[[#This Row],[Stock_Quantity]]</f>
        <v>1320</v>
      </c>
      <c r="G134" s="2" t="str">
        <f>IF(Table1[[#This Row],[Stock_Quantity]]&lt;50,"Low",IF(Table1[[#This Row],[Stock_Quantity]]&lt;=150,"Medium","High"))</f>
        <v>Medium</v>
      </c>
    </row>
    <row r="135" spans="1:7" x14ac:dyDescent="0.3">
      <c r="A135" s="4">
        <v>134</v>
      </c>
      <c r="B135" s="5" t="s">
        <v>139</v>
      </c>
      <c r="C135" s="5" t="s">
        <v>5</v>
      </c>
      <c r="D135" s="4">
        <v>25</v>
      </c>
      <c r="E135" s="4">
        <v>85</v>
      </c>
      <c r="F135" s="2">
        <f>Table1[[#This Row],[Price]]*Table1[[#This Row],[Stock_Quantity]]</f>
        <v>2125</v>
      </c>
      <c r="G135" s="2" t="str">
        <f>IF(Table1[[#This Row],[Stock_Quantity]]&lt;50,"Low",IF(Table1[[#This Row],[Stock_Quantity]]&lt;=150,"Medium","High"))</f>
        <v>Medium</v>
      </c>
    </row>
    <row r="136" spans="1:7" x14ac:dyDescent="0.3">
      <c r="A136" s="4">
        <v>135</v>
      </c>
      <c r="B136" s="5" t="s">
        <v>140</v>
      </c>
      <c r="C136" s="5" t="s">
        <v>11</v>
      </c>
      <c r="D136" s="4">
        <v>55</v>
      </c>
      <c r="E136" s="4">
        <v>18</v>
      </c>
      <c r="F136" s="2">
        <f>Table1[[#This Row],[Price]]*Table1[[#This Row],[Stock_Quantity]]</f>
        <v>990</v>
      </c>
      <c r="G136" s="2" t="str">
        <f>IF(Table1[[#This Row],[Stock_Quantity]]&lt;50,"Low",IF(Table1[[#This Row],[Stock_Quantity]]&lt;=150,"Medium","High"))</f>
        <v>Low</v>
      </c>
    </row>
    <row r="137" spans="1:7" x14ac:dyDescent="0.3">
      <c r="A137" s="4">
        <v>136</v>
      </c>
      <c r="B137" s="5" t="s">
        <v>141</v>
      </c>
      <c r="C137" s="5" t="s">
        <v>19</v>
      </c>
      <c r="D137" s="4">
        <v>1</v>
      </c>
      <c r="E137" s="4">
        <v>200</v>
      </c>
      <c r="F137" s="2">
        <f>Table1[[#This Row],[Price]]*Table1[[#This Row],[Stock_Quantity]]</f>
        <v>200</v>
      </c>
      <c r="G137" s="2" t="str">
        <f>IF(Table1[[#This Row],[Stock_Quantity]]&lt;50,"Low",IF(Table1[[#This Row],[Stock_Quantity]]&lt;=150,"Medium","High"))</f>
        <v>High</v>
      </c>
    </row>
    <row r="138" spans="1:7" x14ac:dyDescent="0.3">
      <c r="A138" s="4">
        <v>137</v>
      </c>
      <c r="B138" s="5" t="s">
        <v>142</v>
      </c>
      <c r="C138" s="5" t="s">
        <v>3</v>
      </c>
      <c r="D138" s="4">
        <v>20</v>
      </c>
      <c r="E138" s="4">
        <v>90</v>
      </c>
      <c r="F138" s="2">
        <f>Table1[[#This Row],[Price]]*Table1[[#This Row],[Stock_Quantity]]</f>
        <v>1800</v>
      </c>
      <c r="G138" s="2" t="str">
        <f>IF(Table1[[#This Row],[Stock_Quantity]]&lt;50,"Low",IF(Table1[[#This Row],[Stock_Quantity]]&lt;=150,"Medium","High"))</f>
        <v>Medium</v>
      </c>
    </row>
    <row r="139" spans="1:7" x14ac:dyDescent="0.3">
      <c r="A139" s="4">
        <v>138</v>
      </c>
      <c r="B139" s="5" t="s">
        <v>143</v>
      </c>
      <c r="C139" s="5" t="s">
        <v>1</v>
      </c>
      <c r="D139" s="4">
        <v>2.8</v>
      </c>
      <c r="E139" s="4">
        <v>150</v>
      </c>
      <c r="F139" s="2">
        <f>Table1[[#This Row],[Price]]*Table1[[#This Row],[Stock_Quantity]]</f>
        <v>420</v>
      </c>
      <c r="G139" s="2" t="str">
        <f>IF(Table1[[#This Row],[Stock_Quantity]]&lt;50,"Low",IF(Table1[[#This Row],[Stock_Quantity]]&lt;=150,"Medium","High"))</f>
        <v>Medium</v>
      </c>
    </row>
    <row r="140" spans="1:7" x14ac:dyDescent="0.3">
      <c r="A140" s="4">
        <v>139</v>
      </c>
      <c r="B140" s="5" t="s">
        <v>144</v>
      </c>
      <c r="C140" s="5" t="s">
        <v>7</v>
      </c>
      <c r="D140" s="4">
        <v>14</v>
      </c>
      <c r="E140" s="4">
        <v>55</v>
      </c>
      <c r="F140" s="2">
        <f>Table1[[#This Row],[Price]]*Table1[[#This Row],[Stock_Quantity]]</f>
        <v>770</v>
      </c>
      <c r="G140" s="2" t="str">
        <f>IF(Table1[[#This Row],[Stock_Quantity]]&lt;50,"Low",IF(Table1[[#This Row],[Stock_Quantity]]&lt;=150,"Medium","High"))</f>
        <v>Medium</v>
      </c>
    </row>
    <row r="141" spans="1:7" x14ac:dyDescent="0.3">
      <c r="A141" s="4">
        <v>140</v>
      </c>
      <c r="B141" s="5" t="s">
        <v>145</v>
      </c>
      <c r="C141" s="5" t="s">
        <v>5</v>
      </c>
      <c r="D141" s="4">
        <v>45</v>
      </c>
      <c r="E141" s="4">
        <v>70</v>
      </c>
      <c r="F141" s="2">
        <f>Table1[[#This Row],[Price]]*Table1[[#This Row],[Stock_Quantity]]</f>
        <v>3150</v>
      </c>
      <c r="G141" s="2" t="str">
        <f>IF(Table1[[#This Row],[Stock_Quantity]]&lt;50,"Low",IF(Table1[[#This Row],[Stock_Quantity]]&lt;=150,"Medium","High"))</f>
        <v>Medium</v>
      </c>
    </row>
    <row r="142" spans="1:7" x14ac:dyDescent="0.3">
      <c r="A142" s="4">
        <v>141</v>
      </c>
      <c r="B142" s="5" t="s">
        <v>146</v>
      </c>
      <c r="C142" s="5" t="s">
        <v>11</v>
      </c>
      <c r="D142" s="4">
        <v>130</v>
      </c>
      <c r="E142" s="4">
        <v>8</v>
      </c>
      <c r="F142" s="2">
        <f>Table1[[#This Row],[Price]]*Table1[[#This Row],[Stock_Quantity]]</f>
        <v>1040</v>
      </c>
      <c r="G142" s="2" t="str">
        <f>IF(Table1[[#This Row],[Stock_Quantity]]&lt;50,"Low",IF(Table1[[#This Row],[Stock_Quantity]]&lt;=150,"Medium","High"))</f>
        <v>Low</v>
      </c>
    </row>
    <row r="143" spans="1:7" x14ac:dyDescent="0.3">
      <c r="A143" s="4">
        <v>142</v>
      </c>
      <c r="B143" s="5" t="s">
        <v>147</v>
      </c>
      <c r="C143" s="5" t="s">
        <v>19</v>
      </c>
      <c r="D143" s="4">
        <v>2</v>
      </c>
      <c r="E143" s="4">
        <v>400</v>
      </c>
      <c r="F143" s="2">
        <f>Table1[[#This Row],[Price]]*Table1[[#This Row],[Stock_Quantity]]</f>
        <v>800</v>
      </c>
      <c r="G143" s="2" t="str">
        <f>IF(Table1[[#This Row],[Stock_Quantity]]&lt;50,"Low",IF(Table1[[#This Row],[Stock_Quantity]]&lt;=150,"Medium","High"))</f>
        <v>High</v>
      </c>
    </row>
    <row r="144" spans="1:7" x14ac:dyDescent="0.3">
      <c r="A144" s="4">
        <v>143</v>
      </c>
      <c r="B144" s="5" t="s">
        <v>148</v>
      </c>
      <c r="C144" s="5" t="s">
        <v>3</v>
      </c>
      <c r="D144" s="4">
        <v>9</v>
      </c>
      <c r="E144" s="4">
        <v>250</v>
      </c>
      <c r="F144" s="2">
        <f>Table1[[#This Row],[Price]]*Table1[[#This Row],[Stock_Quantity]]</f>
        <v>2250</v>
      </c>
      <c r="G144" s="2" t="str">
        <f>IF(Table1[[#This Row],[Stock_Quantity]]&lt;50,"Low",IF(Table1[[#This Row],[Stock_Quantity]]&lt;=150,"Medium","High"))</f>
        <v>High</v>
      </c>
    </row>
    <row r="145" spans="1:7" x14ac:dyDescent="0.3">
      <c r="A145" s="4">
        <v>144</v>
      </c>
      <c r="B145" s="5" t="s">
        <v>149</v>
      </c>
      <c r="C145" s="5" t="s">
        <v>1</v>
      </c>
      <c r="D145" s="4">
        <v>1.2</v>
      </c>
      <c r="E145" s="4">
        <v>180</v>
      </c>
      <c r="F145" s="2">
        <f>Table1[[#This Row],[Price]]*Table1[[#This Row],[Stock_Quantity]]</f>
        <v>216</v>
      </c>
      <c r="G145" s="2" t="str">
        <f>IF(Table1[[#This Row],[Stock_Quantity]]&lt;50,"Low",IF(Table1[[#This Row],[Stock_Quantity]]&lt;=150,"Medium","High"))</f>
        <v>High</v>
      </c>
    </row>
    <row r="146" spans="1:7" x14ac:dyDescent="0.3">
      <c r="A146" s="4">
        <v>145</v>
      </c>
      <c r="B146" s="5" t="s">
        <v>150</v>
      </c>
      <c r="C146" s="5" t="s">
        <v>7</v>
      </c>
      <c r="D146" s="4">
        <v>45</v>
      </c>
      <c r="E146" s="4">
        <v>30</v>
      </c>
      <c r="F146" s="2">
        <f>Table1[[#This Row],[Price]]*Table1[[#This Row],[Stock_Quantity]]</f>
        <v>1350</v>
      </c>
      <c r="G146" s="2" t="str">
        <f>IF(Table1[[#This Row],[Stock_Quantity]]&lt;50,"Low",IF(Table1[[#This Row],[Stock_Quantity]]&lt;=150,"Medium","High"))</f>
        <v>Low</v>
      </c>
    </row>
    <row r="147" spans="1:7" x14ac:dyDescent="0.3">
      <c r="A147" s="4">
        <v>146</v>
      </c>
      <c r="B147" s="5" t="s">
        <v>151</v>
      </c>
      <c r="C147" s="5" t="s">
        <v>5</v>
      </c>
      <c r="D147" s="4">
        <v>35</v>
      </c>
      <c r="E147" s="4">
        <v>50</v>
      </c>
      <c r="F147" s="2">
        <f>Table1[[#This Row],[Price]]*Table1[[#This Row],[Stock_Quantity]]</f>
        <v>1750</v>
      </c>
      <c r="G147" s="2" t="str">
        <f>IF(Table1[[#This Row],[Stock_Quantity]]&lt;50,"Low",IF(Table1[[#This Row],[Stock_Quantity]]&lt;=150,"Medium","High"))</f>
        <v>Medium</v>
      </c>
    </row>
    <row r="148" spans="1:7" x14ac:dyDescent="0.3">
      <c r="A148" s="4">
        <v>147</v>
      </c>
      <c r="B148" s="5" t="s">
        <v>152</v>
      </c>
      <c r="C148" s="5" t="s">
        <v>11</v>
      </c>
      <c r="D148" s="4">
        <v>12</v>
      </c>
      <c r="E148" s="4">
        <v>100</v>
      </c>
      <c r="F148" s="2">
        <f>Table1[[#This Row],[Price]]*Table1[[#This Row],[Stock_Quantity]]</f>
        <v>1200</v>
      </c>
      <c r="G148" s="2" t="str">
        <f>IF(Table1[[#This Row],[Stock_Quantity]]&lt;50,"Low",IF(Table1[[#This Row],[Stock_Quantity]]&lt;=150,"Medium","High"))</f>
        <v>Medium</v>
      </c>
    </row>
    <row r="149" spans="1:7" x14ac:dyDescent="0.3">
      <c r="A149" s="4">
        <v>148</v>
      </c>
      <c r="B149" s="5" t="s">
        <v>153</v>
      </c>
      <c r="C149" s="5" t="s">
        <v>19</v>
      </c>
      <c r="D149" s="4">
        <v>4.5</v>
      </c>
      <c r="E149" s="4">
        <v>150</v>
      </c>
      <c r="F149" s="2">
        <f>Table1[[#This Row],[Price]]*Table1[[#This Row],[Stock_Quantity]]</f>
        <v>675</v>
      </c>
      <c r="G149" s="2" t="str">
        <f>IF(Table1[[#This Row],[Stock_Quantity]]&lt;50,"Low",IF(Table1[[#This Row],[Stock_Quantity]]&lt;=150,"Medium","High"))</f>
        <v>Medium</v>
      </c>
    </row>
    <row r="150" spans="1:7" x14ac:dyDescent="0.3">
      <c r="A150" s="4">
        <v>149</v>
      </c>
      <c r="B150" s="5" t="s">
        <v>154</v>
      </c>
      <c r="C150" s="5" t="s">
        <v>3</v>
      </c>
      <c r="D150" s="4">
        <v>55</v>
      </c>
      <c r="E150" s="4">
        <v>12</v>
      </c>
      <c r="F150" s="2">
        <f>Table1[[#This Row],[Price]]*Table1[[#This Row],[Stock_Quantity]]</f>
        <v>660</v>
      </c>
      <c r="G150" s="2" t="str">
        <f>IF(Table1[[#This Row],[Stock_Quantity]]&lt;50,"Low",IF(Table1[[#This Row],[Stock_Quantity]]&lt;=150,"Medium","High"))</f>
        <v>Low</v>
      </c>
    </row>
    <row r="151" spans="1:7" x14ac:dyDescent="0.3">
      <c r="A151" s="4">
        <v>150</v>
      </c>
      <c r="B151" s="5" t="s">
        <v>155</v>
      </c>
      <c r="C151" s="5" t="s">
        <v>1</v>
      </c>
      <c r="D151" s="4">
        <v>10</v>
      </c>
      <c r="E151" s="4">
        <v>60</v>
      </c>
      <c r="F151" s="2">
        <f>Table1[[#This Row],[Price]]*Table1[[#This Row],[Stock_Quantity]]</f>
        <v>600</v>
      </c>
      <c r="G151" s="2" t="str">
        <f>IF(Table1[[#This Row],[Stock_Quantity]]&lt;50,"Low",IF(Table1[[#This Row],[Stock_Quantity]]&lt;=150,"Medium","High"))</f>
        <v>Medium</v>
      </c>
    </row>
    <row r="152" spans="1:7" x14ac:dyDescent="0.3">
      <c r="A152" s="4">
        <v>151</v>
      </c>
      <c r="B152" s="5" t="s">
        <v>156</v>
      </c>
      <c r="C152" s="5" t="s">
        <v>7</v>
      </c>
      <c r="D152" s="4">
        <v>48</v>
      </c>
      <c r="E152" s="4">
        <v>20</v>
      </c>
      <c r="F152" s="2">
        <f>Table1[[#This Row],[Price]]*Table1[[#This Row],[Stock_Quantity]]</f>
        <v>960</v>
      </c>
      <c r="G152" s="2" t="str">
        <f>IF(Table1[[#This Row],[Stock_Quantity]]&lt;50,"Low",IF(Table1[[#This Row],[Stock_Quantity]]&lt;=150,"Medium","High"))</f>
        <v>Low</v>
      </c>
    </row>
    <row r="153" spans="1:7" x14ac:dyDescent="0.3">
      <c r="A153" s="4">
        <v>152</v>
      </c>
      <c r="B153" s="5" t="s">
        <v>157</v>
      </c>
      <c r="C153" s="5" t="s">
        <v>5</v>
      </c>
      <c r="D153" s="4">
        <v>40</v>
      </c>
      <c r="E153" s="4">
        <v>45</v>
      </c>
      <c r="F153" s="2">
        <f>Table1[[#This Row],[Price]]*Table1[[#This Row],[Stock_Quantity]]</f>
        <v>1800</v>
      </c>
      <c r="G153" s="2" t="str">
        <f>IF(Table1[[#This Row],[Stock_Quantity]]&lt;50,"Low",IF(Table1[[#This Row],[Stock_Quantity]]&lt;=150,"Medium","High"))</f>
        <v>Low</v>
      </c>
    </row>
    <row r="154" spans="1:7" x14ac:dyDescent="0.3">
      <c r="A154" s="4">
        <v>153</v>
      </c>
      <c r="B154" s="5" t="s">
        <v>158</v>
      </c>
      <c r="C154" s="5" t="s">
        <v>11</v>
      </c>
      <c r="D154" s="4">
        <v>12</v>
      </c>
      <c r="E154" s="4">
        <v>70</v>
      </c>
      <c r="F154" s="2">
        <f>Table1[[#This Row],[Price]]*Table1[[#This Row],[Stock_Quantity]]</f>
        <v>840</v>
      </c>
      <c r="G154" s="2" t="str">
        <f>IF(Table1[[#This Row],[Stock_Quantity]]&lt;50,"Low",IF(Table1[[#This Row],[Stock_Quantity]]&lt;=150,"Medium","High"))</f>
        <v>Medium</v>
      </c>
    </row>
    <row r="155" spans="1:7" x14ac:dyDescent="0.3">
      <c r="A155" s="4">
        <v>154</v>
      </c>
      <c r="B155" s="5" t="s">
        <v>159</v>
      </c>
      <c r="C155" s="5" t="s">
        <v>19</v>
      </c>
      <c r="D155" s="4">
        <v>9</v>
      </c>
      <c r="E155" s="4">
        <v>130</v>
      </c>
      <c r="F155" s="2">
        <f>Table1[[#This Row],[Price]]*Table1[[#This Row],[Stock_Quantity]]</f>
        <v>1170</v>
      </c>
      <c r="G155" s="2" t="str">
        <f>IF(Table1[[#This Row],[Stock_Quantity]]&lt;50,"Low",IF(Table1[[#This Row],[Stock_Quantity]]&lt;=150,"Medium","High"))</f>
        <v>Medium</v>
      </c>
    </row>
    <row r="156" spans="1:7" x14ac:dyDescent="0.3">
      <c r="A156" s="4">
        <v>155</v>
      </c>
      <c r="B156" s="5" t="s">
        <v>160</v>
      </c>
      <c r="C156" s="5" t="s">
        <v>3</v>
      </c>
      <c r="D156" s="4">
        <v>35</v>
      </c>
      <c r="E156" s="4">
        <v>85</v>
      </c>
      <c r="F156" s="2">
        <f>Table1[[#This Row],[Price]]*Table1[[#This Row],[Stock_Quantity]]</f>
        <v>2975</v>
      </c>
      <c r="G156" s="2" t="str">
        <f>IF(Table1[[#This Row],[Stock_Quantity]]&lt;50,"Low",IF(Table1[[#This Row],[Stock_Quantity]]&lt;=150,"Medium","High"))</f>
        <v>Medium</v>
      </c>
    </row>
    <row r="157" spans="1:7" x14ac:dyDescent="0.3">
      <c r="A157" s="4">
        <v>156</v>
      </c>
      <c r="B157" s="5" t="s">
        <v>161</v>
      </c>
      <c r="C157" s="5" t="s">
        <v>1</v>
      </c>
      <c r="D157" s="4">
        <v>4.5</v>
      </c>
      <c r="E157" s="4">
        <v>200</v>
      </c>
      <c r="F157" s="2">
        <f>Table1[[#This Row],[Price]]*Table1[[#This Row],[Stock_Quantity]]</f>
        <v>900</v>
      </c>
      <c r="G157" s="2" t="str">
        <f>IF(Table1[[#This Row],[Stock_Quantity]]&lt;50,"Low",IF(Table1[[#This Row],[Stock_Quantity]]&lt;=150,"Medium","High"))</f>
        <v>High</v>
      </c>
    </row>
    <row r="158" spans="1:7" x14ac:dyDescent="0.3">
      <c r="A158" s="4">
        <v>157</v>
      </c>
      <c r="B158" s="5" t="s">
        <v>162</v>
      </c>
      <c r="C158" s="5" t="s">
        <v>7</v>
      </c>
      <c r="D158" s="4">
        <v>89</v>
      </c>
      <c r="E158" s="4">
        <v>15</v>
      </c>
      <c r="F158" s="2">
        <f>Table1[[#This Row],[Price]]*Table1[[#This Row],[Stock_Quantity]]</f>
        <v>1335</v>
      </c>
      <c r="G158" s="2" t="str">
        <f>IF(Table1[[#This Row],[Stock_Quantity]]&lt;50,"Low",IF(Table1[[#This Row],[Stock_Quantity]]&lt;=150,"Medium","High"))</f>
        <v>Low</v>
      </c>
    </row>
    <row r="159" spans="1:7" x14ac:dyDescent="0.3">
      <c r="A159" s="4">
        <v>158</v>
      </c>
      <c r="B159" s="5" t="s">
        <v>163</v>
      </c>
      <c r="C159" s="5" t="s">
        <v>5</v>
      </c>
      <c r="D159" s="4">
        <v>15</v>
      </c>
      <c r="E159" s="4">
        <v>120</v>
      </c>
      <c r="F159" s="2">
        <f>Table1[[#This Row],[Price]]*Table1[[#This Row],[Stock_Quantity]]</f>
        <v>1800</v>
      </c>
      <c r="G159" s="2" t="str">
        <f>IF(Table1[[#This Row],[Stock_Quantity]]&lt;50,"Low",IF(Table1[[#This Row],[Stock_Quantity]]&lt;=150,"Medium","High"))</f>
        <v>Medium</v>
      </c>
    </row>
    <row r="160" spans="1:7" x14ac:dyDescent="0.3">
      <c r="A160" s="4">
        <v>159</v>
      </c>
      <c r="B160" s="5" t="s">
        <v>164</v>
      </c>
      <c r="C160" s="5" t="s">
        <v>11</v>
      </c>
      <c r="D160" s="4">
        <v>20</v>
      </c>
      <c r="E160" s="4">
        <v>40</v>
      </c>
      <c r="F160" s="2">
        <f>Table1[[#This Row],[Price]]*Table1[[#This Row],[Stock_Quantity]]</f>
        <v>800</v>
      </c>
      <c r="G160" s="2" t="str">
        <f>IF(Table1[[#This Row],[Stock_Quantity]]&lt;50,"Low",IF(Table1[[#This Row],[Stock_Quantity]]&lt;=150,"Medium","High"))</f>
        <v>Low</v>
      </c>
    </row>
    <row r="161" spans="1:7" x14ac:dyDescent="0.3">
      <c r="A161" s="4">
        <v>160</v>
      </c>
      <c r="B161" s="5" t="s">
        <v>165</v>
      </c>
      <c r="C161" s="5" t="s">
        <v>19</v>
      </c>
      <c r="D161" s="4">
        <v>3</v>
      </c>
      <c r="E161" s="4">
        <v>350</v>
      </c>
      <c r="F161" s="2">
        <f>Table1[[#This Row],[Price]]*Table1[[#This Row],[Stock_Quantity]]</f>
        <v>1050</v>
      </c>
      <c r="G161" s="2" t="str">
        <f>IF(Table1[[#This Row],[Stock_Quantity]]&lt;50,"Low",IF(Table1[[#This Row],[Stock_Quantity]]&lt;=150,"Medium","High"))</f>
        <v>High</v>
      </c>
    </row>
    <row r="162" spans="1:7" x14ac:dyDescent="0.3">
      <c r="A162" s="4">
        <v>161</v>
      </c>
      <c r="B162" s="5" t="s">
        <v>166</v>
      </c>
      <c r="C162" s="5" t="s">
        <v>3</v>
      </c>
      <c r="D162" s="4">
        <v>25</v>
      </c>
      <c r="E162" s="4">
        <v>40</v>
      </c>
      <c r="F162" s="2">
        <f>Table1[[#This Row],[Price]]*Table1[[#This Row],[Stock_Quantity]]</f>
        <v>1000</v>
      </c>
      <c r="G162" s="2" t="str">
        <f>IF(Table1[[#This Row],[Stock_Quantity]]&lt;50,"Low",IF(Table1[[#This Row],[Stock_Quantity]]&lt;=150,"Medium","High"))</f>
        <v>Low</v>
      </c>
    </row>
    <row r="163" spans="1:7" x14ac:dyDescent="0.3">
      <c r="A163" s="4">
        <v>162</v>
      </c>
      <c r="B163" s="5" t="s">
        <v>167</v>
      </c>
      <c r="C163" s="5" t="s">
        <v>1</v>
      </c>
      <c r="D163" s="4">
        <v>2</v>
      </c>
      <c r="E163" s="4">
        <v>220</v>
      </c>
      <c r="F163" s="2">
        <f>Table1[[#This Row],[Price]]*Table1[[#This Row],[Stock_Quantity]]</f>
        <v>440</v>
      </c>
      <c r="G163" s="2" t="str">
        <f>IF(Table1[[#This Row],[Stock_Quantity]]&lt;50,"Low",IF(Table1[[#This Row],[Stock_Quantity]]&lt;=150,"Medium","High"))</f>
        <v>High</v>
      </c>
    </row>
    <row r="164" spans="1:7" x14ac:dyDescent="0.3">
      <c r="A164" s="4">
        <v>163</v>
      </c>
      <c r="B164" s="5" t="s">
        <v>168</v>
      </c>
      <c r="C164" s="5" t="s">
        <v>7</v>
      </c>
      <c r="D164" s="4">
        <v>35</v>
      </c>
      <c r="E164" s="4">
        <v>25</v>
      </c>
      <c r="F164" s="2">
        <f>Table1[[#This Row],[Price]]*Table1[[#This Row],[Stock_Quantity]]</f>
        <v>875</v>
      </c>
      <c r="G164" s="2" t="str">
        <f>IF(Table1[[#This Row],[Stock_Quantity]]&lt;50,"Low",IF(Table1[[#This Row],[Stock_Quantity]]&lt;=150,"Medium","High"))</f>
        <v>Low</v>
      </c>
    </row>
    <row r="165" spans="1:7" x14ac:dyDescent="0.3">
      <c r="A165" s="4">
        <v>164</v>
      </c>
      <c r="B165" s="5" t="s">
        <v>169</v>
      </c>
      <c r="C165" s="5" t="s">
        <v>5</v>
      </c>
      <c r="D165" s="4">
        <v>22</v>
      </c>
      <c r="E165" s="4">
        <v>60</v>
      </c>
      <c r="F165" s="2">
        <f>Table1[[#This Row],[Price]]*Table1[[#This Row],[Stock_Quantity]]</f>
        <v>1320</v>
      </c>
      <c r="G165" s="2" t="str">
        <f>IF(Table1[[#This Row],[Stock_Quantity]]&lt;50,"Low",IF(Table1[[#This Row],[Stock_Quantity]]&lt;=150,"Medium","High"))</f>
        <v>Medium</v>
      </c>
    </row>
    <row r="166" spans="1:7" x14ac:dyDescent="0.3">
      <c r="A166" s="4">
        <v>165</v>
      </c>
      <c r="B166" s="5" t="s">
        <v>170</v>
      </c>
      <c r="C166" s="5" t="s">
        <v>11</v>
      </c>
      <c r="D166" s="4">
        <v>95</v>
      </c>
      <c r="E166" s="4">
        <v>30</v>
      </c>
      <c r="F166" s="2">
        <f>Table1[[#This Row],[Price]]*Table1[[#This Row],[Stock_Quantity]]</f>
        <v>2850</v>
      </c>
      <c r="G166" s="2" t="str">
        <f>IF(Table1[[#This Row],[Stock_Quantity]]&lt;50,"Low",IF(Table1[[#This Row],[Stock_Quantity]]&lt;=150,"Medium","High"))</f>
        <v>Low</v>
      </c>
    </row>
    <row r="167" spans="1:7" x14ac:dyDescent="0.3">
      <c r="A167" s="4">
        <v>166</v>
      </c>
      <c r="B167" s="5" t="s">
        <v>171</v>
      </c>
      <c r="C167" s="5" t="s">
        <v>19</v>
      </c>
      <c r="D167" s="4">
        <v>6</v>
      </c>
      <c r="E167" s="4">
        <v>40</v>
      </c>
      <c r="F167" s="2">
        <f>Table1[[#This Row],[Price]]*Table1[[#This Row],[Stock_Quantity]]</f>
        <v>240</v>
      </c>
      <c r="G167" s="2" t="str">
        <f>IF(Table1[[#This Row],[Stock_Quantity]]&lt;50,"Low",IF(Table1[[#This Row],[Stock_Quantity]]&lt;=150,"Medium","High"))</f>
        <v>Low</v>
      </c>
    </row>
    <row r="168" spans="1:7" x14ac:dyDescent="0.3">
      <c r="A168" s="4">
        <v>167</v>
      </c>
      <c r="B168" s="5" t="s">
        <v>172</v>
      </c>
      <c r="C168" s="5" t="s">
        <v>3</v>
      </c>
      <c r="D168" s="4">
        <v>29</v>
      </c>
      <c r="E168" s="4">
        <v>15</v>
      </c>
      <c r="F168" s="2">
        <f>Table1[[#This Row],[Price]]*Table1[[#This Row],[Stock_Quantity]]</f>
        <v>435</v>
      </c>
      <c r="G168" s="2" t="str">
        <f>IF(Table1[[#This Row],[Stock_Quantity]]&lt;50,"Low",IF(Table1[[#This Row],[Stock_Quantity]]&lt;=150,"Medium","High"))</f>
        <v>Low</v>
      </c>
    </row>
    <row r="169" spans="1:7" x14ac:dyDescent="0.3">
      <c r="A169" s="4">
        <v>168</v>
      </c>
      <c r="B169" s="5" t="s">
        <v>173</v>
      </c>
      <c r="C169" s="5" t="s">
        <v>1</v>
      </c>
      <c r="D169" s="4">
        <v>5.5</v>
      </c>
      <c r="E169" s="4">
        <v>100</v>
      </c>
      <c r="F169" s="2">
        <f>Table1[[#This Row],[Price]]*Table1[[#This Row],[Stock_Quantity]]</f>
        <v>550</v>
      </c>
      <c r="G169" s="2" t="str">
        <f>IF(Table1[[#This Row],[Stock_Quantity]]&lt;50,"Low",IF(Table1[[#This Row],[Stock_Quantity]]&lt;=150,"Medium","High"))</f>
        <v>Medium</v>
      </c>
    </row>
    <row r="170" spans="1:7" x14ac:dyDescent="0.3">
      <c r="A170" s="4">
        <v>169</v>
      </c>
      <c r="B170" s="5" t="s">
        <v>174</v>
      </c>
      <c r="C170" s="5" t="s">
        <v>7</v>
      </c>
      <c r="D170" s="4">
        <v>60</v>
      </c>
      <c r="E170" s="4">
        <v>10</v>
      </c>
      <c r="F170" s="2">
        <f>Table1[[#This Row],[Price]]*Table1[[#This Row],[Stock_Quantity]]</f>
        <v>600</v>
      </c>
      <c r="G170" s="2" t="str">
        <f>IF(Table1[[#This Row],[Stock_Quantity]]&lt;50,"Low",IF(Table1[[#This Row],[Stock_Quantity]]&lt;=150,"Medium","High"))</f>
        <v>Low</v>
      </c>
    </row>
    <row r="171" spans="1:7" x14ac:dyDescent="0.3">
      <c r="A171" s="4">
        <v>170</v>
      </c>
      <c r="B171" s="5" t="s">
        <v>175</v>
      </c>
      <c r="C171" s="5" t="s">
        <v>5</v>
      </c>
      <c r="D171" s="4">
        <v>28</v>
      </c>
      <c r="E171" s="4">
        <v>85</v>
      </c>
      <c r="F171" s="2">
        <f>Table1[[#This Row],[Price]]*Table1[[#This Row],[Stock_Quantity]]</f>
        <v>2380</v>
      </c>
      <c r="G171" s="2" t="str">
        <f>IF(Table1[[#This Row],[Stock_Quantity]]&lt;50,"Low",IF(Table1[[#This Row],[Stock_Quantity]]&lt;=150,"Medium","High"))</f>
        <v>Medium</v>
      </c>
    </row>
    <row r="172" spans="1:7" x14ac:dyDescent="0.3">
      <c r="A172" s="4">
        <v>171</v>
      </c>
      <c r="B172" s="5" t="s">
        <v>176</v>
      </c>
      <c r="C172" s="5" t="s">
        <v>11</v>
      </c>
      <c r="D172" s="4">
        <v>55</v>
      </c>
      <c r="E172" s="4">
        <v>20</v>
      </c>
      <c r="F172" s="2">
        <f>Table1[[#This Row],[Price]]*Table1[[#This Row],[Stock_Quantity]]</f>
        <v>1100</v>
      </c>
      <c r="G172" s="2" t="str">
        <f>IF(Table1[[#This Row],[Stock_Quantity]]&lt;50,"Low",IF(Table1[[#This Row],[Stock_Quantity]]&lt;=150,"Medium","High"))</f>
        <v>Low</v>
      </c>
    </row>
    <row r="173" spans="1:7" x14ac:dyDescent="0.3">
      <c r="A173" s="4">
        <v>172</v>
      </c>
      <c r="B173" s="5" t="s">
        <v>177</v>
      </c>
      <c r="C173" s="5" t="s">
        <v>19</v>
      </c>
      <c r="D173" s="4">
        <v>2.5</v>
      </c>
      <c r="E173" s="4">
        <v>300</v>
      </c>
      <c r="F173" s="2">
        <f>Table1[[#This Row],[Price]]*Table1[[#This Row],[Stock_Quantity]]</f>
        <v>750</v>
      </c>
      <c r="G173" s="2" t="str">
        <f>IF(Table1[[#This Row],[Stock_Quantity]]&lt;50,"Low",IF(Table1[[#This Row],[Stock_Quantity]]&lt;=150,"Medium","High"))</f>
        <v>High</v>
      </c>
    </row>
    <row r="174" spans="1:7" x14ac:dyDescent="0.3">
      <c r="A174" s="4">
        <v>173</v>
      </c>
      <c r="B174" s="5" t="s">
        <v>178</v>
      </c>
      <c r="C174" s="5" t="s">
        <v>3</v>
      </c>
      <c r="D174" s="4">
        <v>120</v>
      </c>
      <c r="E174" s="4">
        <v>8</v>
      </c>
      <c r="F174" s="2">
        <f>Table1[[#This Row],[Price]]*Table1[[#This Row],[Stock_Quantity]]</f>
        <v>960</v>
      </c>
      <c r="G174" s="2" t="str">
        <f>IF(Table1[[#This Row],[Stock_Quantity]]&lt;50,"Low",IF(Table1[[#This Row],[Stock_Quantity]]&lt;=150,"Medium","High"))</f>
        <v>Low</v>
      </c>
    </row>
    <row r="175" spans="1:7" x14ac:dyDescent="0.3">
      <c r="A175" s="4">
        <v>174</v>
      </c>
      <c r="B175" s="5" t="s">
        <v>179</v>
      </c>
      <c r="C175" s="5" t="s">
        <v>1</v>
      </c>
      <c r="D175" s="4">
        <v>2.2000000000000002</v>
      </c>
      <c r="E175" s="4">
        <v>180</v>
      </c>
      <c r="F175" s="2">
        <f>Table1[[#This Row],[Price]]*Table1[[#This Row],[Stock_Quantity]]</f>
        <v>396.00000000000006</v>
      </c>
      <c r="G175" s="2" t="str">
        <f>IF(Table1[[#This Row],[Stock_Quantity]]&lt;50,"Low",IF(Table1[[#This Row],[Stock_Quantity]]&lt;=150,"Medium","High"))</f>
        <v>High</v>
      </c>
    </row>
    <row r="176" spans="1:7" x14ac:dyDescent="0.3">
      <c r="A176" s="4">
        <v>175</v>
      </c>
      <c r="B176" s="5" t="s">
        <v>180</v>
      </c>
      <c r="C176" s="5" t="s">
        <v>7</v>
      </c>
      <c r="D176" s="4">
        <v>4</v>
      </c>
      <c r="E176" s="4">
        <v>150</v>
      </c>
      <c r="F176" s="2">
        <f>Table1[[#This Row],[Price]]*Table1[[#This Row],[Stock_Quantity]]</f>
        <v>600</v>
      </c>
      <c r="G176" s="2" t="str">
        <f>IF(Table1[[#This Row],[Stock_Quantity]]&lt;50,"Low",IF(Table1[[#This Row],[Stock_Quantity]]&lt;=150,"Medium","High"))</f>
        <v>Medium</v>
      </c>
    </row>
    <row r="177" spans="1:7" x14ac:dyDescent="0.3">
      <c r="A177" s="4">
        <v>176</v>
      </c>
      <c r="B177" s="5" t="s">
        <v>181</v>
      </c>
      <c r="C177" s="5" t="s">
        <v>5</v>
      </c>
      <c r="D177" s="4">
        <v>50</v>
      </c>
      <c r="E177" s="4">
        <v>40</v>
      </c>
      <c r="F177" s="2">
        <f>Table1[[#This Row],[Price]]*Table1[[#This Row],[Stock_Quantity]]</f>
        <v>2000</v>
      </c>
      <c r="G177" s="2" t="str">
        <f>IF(Table1[[#This Row],[Stock_Quantity]]&lt;50,"Low",IF(Table1[[#This Row],[Stock_Quantity]]&lt;=150,"Medium","High"))</f>
        <v>Low</v>
      </c>
    </row>
    <row r="178" spans="1:7" x14ac:dyDescent="0.3">
      <c r="A178" s="4">
        <v>177</v>
      </c>
      <c r="B178" s="5" t="s">
        <v>182</v>
      </c>
      <c r="C178" s="5" t="s">
        <v>11</v>
      </c>
      <c r="D178" s="4">
        <v>22</v>
      </c>
      <c r="E178" s="4">
        <v>30</v>
      </c>
      <c r="F178" s="2">
        <f>Table1[[#This Row],[Price]]*Table1[[#This Row],[Stock_Quantity]]</f>
        <v>660</v>
      </c>
      <c r="G178" s="2" t="str">
        <f>IF(Table1[[#This Row],[Stock_Quantity]]&lt;50,"Low",IF(Table1[[#This Row],[Stock_Quantity]]&lt;=150,"Medium","High"))</f>
        <v>Low</v>
      </c>
    </row>
    <row r="179" spans="1:7" x14ac:dyDescent="0.3">
      <c r="A179" s="4">
        <v>178</v>
      </c>
      <c r="B179" s="5" t="s">
        <v>183</v>
      </c>
      <c r="C179" s="5" t="s">
        <v>19</v>
      </c>
      <c r="D179" s="4">
        <v>3</v>
      </c>
      <c r="E179" s="4">
        <v>100</v>
      </c>
      <c r="F179" s="2">
        <f>Table1[[#This Row],[Price]]*Table1[[#This Row],[Stock_Quantity]]</f>
        <v>300</v>
      </c>
      <c r="G179" s="2" t="str">
        <f>IF(Table1[[#This Row],[Stock_Quantity]]&lt;50,"Low",IF(Table1[[#This Row],[Stock_Quantity]]&lt;=150,"Medium","High"))</f>
        <v>Medium</v>
      </c>
    </row>
    <row r="180" spans="1:7" x14ac:dyDescent="0.3">
      <c r="A180" s="4">
        <v>179</v>
      </c>
      <c r="B180" s="5" t="s">
        <v>184</v>
      </c>
      <c r="C180" s="5" t="s">
        <v>3</v>
      </c>
      <c r="D180" s="4">
        <v>25</v>
      </c>
      <c r="E180" s="4">
        <v>50</v>
      </c>
      <c r="F180" s="2">
        <f>Table1[[#This Row],[Price]]*Table1[[#This Row],[Stock_Quantity]]</f>
        <v>1250</v>
      </c>
      <c r="G180" s="2" t="str">
        <f>IF(Table1[[#This Row],[Stock_Quantity]]&lt;50,"Low",IF(Table1[[#This Row],[Stock_Quantity]]&lt;=150,"Medium","High"))</f>
        <v>Medium</v>
      </c>
    </row>
    <row r="181" spans="1:7" x14ac:dyDescent="0.3">
      <c r="A181" s="4">
        <v>180</v>
      </c>
      <c r="B181" s="5" t="s">
        <v>185</v>
      </c>
      <c r="C181" s="5" t="s">
        <v>1</v>
      </c>
      <c r="D181" s="4">
        <v>2.5</v>
      </c>
      <c r="E181" s="4">
        <v>140</v>
      </c>
      <c r="F181" s="2">
        <f>Table1[[#This Row],[Price]]*Table1[[#This Row],[Stock_Quantity]]</f>
        <v>350</v>
      </c>
      <c r="G181" s="2" t="str">
        <f>IF(Table1[[#This Row],[Stock_Quantity]]&lt;50,"Low",IF(Table1[[#This Row],[Stock_Quantity]]&lt;=150,"Medium","High"))</f>
        <v>Medium</v>
      </c>
    </row>
    <row r="182" spans="1:7" x14ac:dyDescent="0.3">
      <c r="A182" s="4">
        <v>181</v>
      </c>
      <c r="B182" s="5" t="s">
        <v>186</v>
      </c>
      <c r="C182" s="5" t="s">
        <v>7</v>
      </c>
      <c r="D182" s="4">
        <v>28</v>
      </c>
      <c r="E182" s="4">
        <v>35</v>
      </c>
      <c r="F182" s="2">
        <f>Table1[[#This Row],[Price]]*Table1[[#This Row],[Stock_Quantity]]</f>
        <v>980</v>
      </c>
      <c r="G182" s="2" t="str">
        <f>IF(Table1[[#This Row],[Stock_Quantity]]&lt;50,"Low",IF(Table1[[#This Row],[Stock_Quantity]]&lt;=150,"Medium","High"))</f>
        <v>Low</v>
      </c>
    </row>
    <row r="183" spans="1:7" x14ac:dyDescent="0.3">
      <c r="A183" s="4">
        <v>182</v>
      </c>
      <c r="B183" s="5" t="s">
        <v>187</v>
      </c>
      <c r="C183" s="5" t="s">
        <v>5</v>
      </c>
      <c r="D183" s="4">
        <v>42</v>
      </c>
      <c r="E183" s="4">
        <v>55</v>
      </c>
      <c r="F183" s="2">
        <f>Table1[[#This Row],[Price]]*Table1[[#This Row],[Stock_Quantity]]</f>
        <v>2310</v>
      </c>
      <c r="G183" s="2" t="str">
        <f>IF(Table1[[#This Row],[Stock_Quantity]]&lt;50,"Low",IF(Table1[[#This Row],[Stock_Quantity]]&lt;=150,"Medium","High"))</f>
        <v>Medium</v>
      </c>
    </row>
    <row r="184" spans="1:7" x14ac:dyDescent="0.3">
      <c r="A184" s="4">
        <v>183</v>
      </c>
      <c r="B184" s="5" t="s">
        <v>188</v>
      </c>
      <c r="C184" s="5" t="s">
        <v>11</v>
      </c>
      <c r="D184" s="4">
        <v>30</v>
      </c>
      <c r="E184" s="4">
        <v>45</v>
      </c>
      <c r="F184" s="2">
        <f>Table1[[#This Row],[Price]]*Table1[[#This Row],[Stock_Quantity]]</f>
        <v>1350</v>
      </c>
      <c r="G184" s="2" t="str">
        <f>IF(Table1[[#This Row],[Stock_Quantity]]&lt;50,"Low",IF(Table1[[#This Row],[Stock_Quantity]]&lt;=150,"Medium","High"))</f>
        <v>Low</v>
      </c>
    </row>
    <row r="185" spans="1:7" x14ac:dyDescent="0.3">
      <c r="A185" s="4">
        <v>184</v>
      </c>
      <c r="B185" s="5" t="s">
        <v>189</v>
      </c>
      <c r="C185" s="5" t="s">
        <v>19</v>
      </c>
      <c r="D185" s="4">
        <v>15</v>
      </c>
      <c r="E185" s="4">
        <v>80</v>
      </c>
      <c r="F185" s="2">
        <f>Table1[[#This Row],[Price]]*Table1[[#This Row],[Stock_Quantity]]</f>
        <v>1200</v>
      </c>
      <c r="G185" s="2" t="str">
        <f>IF(Table1[[#This Row],[Stock_Quantity]]&lt;50,"Low",IF(Table1[[#This Row],[Stock_Quantity]]&lt;=150,"Medium","High"))</f>
        <v>Medium</v>
      </c>
    </row>
    <row r="186" spans="1:7" x14ac:dyDescent="0.3">
      <c r="A186" s="4">
        <v>185</v>
      </c>
      <c r="B186" s="5" t="s">
        <v>190</v>
      </c>
      <c r="C186" s="5" t="s">
        <v>3</v>
      </c>
      <c r="D186" s="4">
        <v>20</v>
      </c>
      <c r="E186" s="4">
        <v>30</v>
      </c>
      <c r="F186" s="2">
        <f>Table1[[#This Row],[Price]]*Table1[[#This Row],[Stock_Quantity]]</f>
        <v>600</v>
      </c>
      <c r="G186" s="2" t="str">
        <f>IF(Table1[[#This Row],[Stock_Quantity]]&lt;50,"Low",IF(Table1[[#This Row],[Stock_Quantity]]&lt;=150,"Medium","High"))</f>
        <v>Low</v>
      </c>
    </row>
    <row r="187" spans="1:7" x14ac:dyDescent="0.3">
      <c r="A187" s="4">
        <v>186</v>
      </c>
      <c r="B187" s="5" t="s">
        <v>191</v>
      </c>
      <c r="C187" s="5" t="s">
        <v>1</v>
      </c>
      <c r="D187" s="4">
        <v>3.5</v>
      </c>
      <c r="E187" s="4">
        <v>160</v>
      </c>
      <c r="F187" s="2">
        <f>Table1[[#This Row],[Price]]*Table1[[#This Row],[Stock_Quantity]]</f>
        <v>560</v>
      </c>
      <c r="G187" s="2" t="str">
        <f>IF(Table1[[#This Row],[Stock_Quantity]]&lt;50,"Low",IF(Table1[[#This Row],[Stock_Quantity]]&lt;=150,"Medium","High"))</f>
        <v>High</v>
      </c>
    </row>
    <row r="188" spans="1:7" x14ac:dyDescent="0.3">
      <c r="A188" s="4">
        <v>187</v>
      </c>
      <c r="B188" s="5" t="s">
        <v>192</v>
      </c>
      <c r="C188" s="5" t="s">
        <v>7</v>
      </c>
      <c r="D188" s="4">
        <v>40</v>
      </c>
      <c r="E188" s="4">
        <v>15</v>
      </c>
      <c r="F188" s="2">
        <f>Table1[[#This Row],[Price]]*Table1[[#This Row],[Stock_Quantity]]</f>
        <v>600</v>
      </c>
      <c r="G188" s="2" t="str">
        <f>IF(Table1[[#This Row],[Stock_Quantity]]&lt;50,"Low",IF(Table1[[#This Row],[Stock_Quantity]]&lt;=150,"Medium","High"))</f>
        <v>Low</v>
      </c>
    </row>
    <row r="189" spans="1:7" x14ac:dyDescent="0.3">
      <c r="A189" s="4">
        <v>188</v>
      </c>
      <c r="B189" s="5" t="s">
        <v>193</v>
      </c>
      <c r="C189" s="5" t="s">
        <v>5</v>
      </c>
      <c r="D189" s="4">
        <v>25</v>
      </c>
      <c r="E189" s="4">
        <v>90</v>
      </c>
      <c r="F189" s="2">
        <f>Table1[[#This Row],[Price]]*Table1[[#This Row],[Stock_Quantity]]</f>
        <v>2250</v>
      </c>
      <c r="G189" s="2" t="str">
        <f>IF(Table1[[#This Row],[Stock_Quantity]]&lt;50,"Low",IF(Table1[[#This Row],[Stock_Quantity]]&lt;=150,"Medium","High"))</f>
        <v>Medium</v>
      </c>
    </row>
    <row r="190" spans="1:7" x14ac:dyDescent="0.3">
      <c r="A190" s="4">
        <v>189</v>
      </c>
      <c r="B190" s="5" t="s">
        <v>194</v>
      </c>
      <c r="C190" s="5" t="s">
        <v>11</v>
      </c>
      <c r="D190" s="4">
        <v>8</v>
      </c>
      <c r="E190" s="4">
        <v>120</v>
      </c>
      <c r="F190" s="2">
        <f>Table1[[#This Row],[Price]]*Table1[[#This Row],[Stock_Quantity]]</f>
        <v>960</v>
      </c>
      <c r="G190" s="2" t="str">
        <f>IF(Table1[[#This Row],[Stock_Quantity]]&lt;50,"Low",IF(Table1[[#This Row],[Stock_Quantity]]&lt;=150,"Medium","High"))</f>
        <v>Medium</v>
      </c>
    </row>
    <row r="191" spans="1:7" x14ac:dyDescent="0.3">
      <c r="A191" s="4">
        <v>190</v>
      </c>
      <c r="B191" s="5" t="s">
        <v>195</v>
      </c>
      <c r="C191" s="5" t="s">
        <v>19</v>
      </c>
      <c r="D191" s="4">
        <v>2.5</v>
      </c>
      <c r="E191" s="4">
        <v>250</v>
      </c>
      <c r="F191" s="2">
        <f>Table1[[#This Row],[Price]]*Table1[[#This Row],[Stock_Quantity]]</f>
        <v>625</v>
      </c>
      <c r="G191" s="2" t="str">
        <f>IF(Table1[[#This Row],[Stock_Quantity]]&lt;50,"Low",IF(Table1[[#This Row],[Stock_Quantity]]&lt;=150,"Medium","High"))</f>
        <v>High</v>
      </c>
    </row>
    <row r="192" spans="1:7" x14ac:dyDescent="0.3">
      <c r="A192" s="4">
        <v>191</v>
      </c>
      <c r="B192" s="5" t="s">
        <v>196</v>
      </c>
      <c r="C192" s="5" t="s">
        <v>3</v>
      </c>
      <c r="D192" s="4">
        <v>22</v>
      </c>
      <c r="E192" s="4">
        <v>45</v>
      </c>
      <c r="F192" s="2">
        <f>Table1[[#This Row],[Price]]*Table1[[#This Row],[Stock_Quantity]]</f>
        <v>990</v>
      </c>
      <c r="G192" s="2" t="str">
        <f>IF(Table1[[#This Row],[Stock_Quantity]]&lt;50,"Low",IF(Table1[[#This Row],[Stock_Quantity]]&lt;=150,"Medium","High"))</f>
        <v>Low</v>
      </c>
    </row>
    <row r="193" spans="1:7" x14ac:dyDescent="0.3">
      <c r="A193" s="4">
        <v>192</v>
      </c>
      <c r="B193" s="5" t="s">
        <v>197</v>
      </c>
      <c r="C193" s="5" t="s">
        <v>1</v>
      </c>
      <c r="D193" s="4">
        <v>2.99</v>
      </c>
      <c r="E193" s="4">
        <v>130</v>
      </c>
      <c r="F193" s="2">
        <f>Table1[[#This Row],[Price]]*Table1[[#This Row],[Stock_Quantity]]</f>
        <v>388.70000000000005</v>
      </c>
      <c r="G193" s="2" t="str">
        <f>IF(Table1[[#This Row],[Stock_Quantity]]&lt;50,"Low",IF(Table1[[#This Row],[Stock_Quantity]]&lt;=150,"Medium","High"))</f>
        <v>Medium</v>
      </c>
    </row>
    <row r="194" spans="1:7" x14ac:dyDescent="0.3">
      <c r="A194" s="4">
        <v>193</v>
      </c>
      <c r="B194" s="5" t="s">
        <v>198</v>
      </c>
      <c r="C194" s="5" t="s">
        <v>7</v>
      </c>
      <c r="D194" s="4">
        <v>12</v>
      </c>
      <c r="E194" s="4">
        <v>80</v>
      </c>
      <c r="F194" s="2">
        <f>Table1[[#This Row],[Price]]*Table1[[#This Row],[Stock_Quantity]]</f>
        <v>960</v>
      </c>
      <c r="G194" s="2" t="str">
        <f>IF(Table1[[#This Row],[Stock_Quantity]]&lt;50,"Low",IF(Table1[[#This Row],[Stock_Quantity]]&lt;=150,"Medium","High"))</f>
        <v>Medium</v>
      </c>
    </row>
    <row r="195" spans="1:7" x14ac:dyDescent="0.3">
      <c r="A195" s="4">
        <v>194</v>
      </c>
      <c r="B195" s="5" t="s">
        <v>199</v>
      </c>
      <c r="C195" s="5" t="s">
        <v>5</v>
      </c>
      <c r="D195" s="4">
        <v>12</v>
      </c>
      <c r="E195" s="4">
        <v>110</v>
      </c>
      <c r="F195" s="2">
        <f>Table1[[#This Row],[Price]]*Table1[[#This Row],[Stock_Quantity]]</f>
        <v>1320</v>
      </c>
      <c r="G195" s="2" t="str">
        <f>IF(Table1[[#This Row],[Stock_Quantity]]&lt;50,"Low",IF(Table1[[#This Row],[Stock_Quantity]]&lt;=150,"Medium","High"))</f>
        <v>Medium</v>
      </c>
    </row>
    <row r="196" spans="1:7" x14ac:dyDescent="0.3">
      <c r="A196" s="4">
        <v>195</v>
      </c>
      <c r="B196" s="5" t="s">
        <v>200</v>
      </c>
      <c r="C196" s="5" t="s">
        <v>11</v>
      </c>
      <c r="D196" s="4">
        <v>25</v>
      </c>
      <c r="E196" s="4">
        <v>40</v>
      </c>
      <c r="F196" s="2">
        <f>Table1[[#This Row],[Price]]*Table1[[#This Row],[Stock_Quantity]]</f>
        <v>1000</v>
      </c>
      <c r="G196" s="2" t="str">
        <f>IF(Table1[[#This Row],[Stock_Quantity]]&lt;50,"Low",IF(Table1[[#This Row],[Stock_Quantity]]&lt;=150,"Medium","High"))</f>
        <v>Low</v>
      </c>
    </row>
    <row r="197" spans="1:7" x14ac:dyDescent="0.3">
      <c r="A197" s="4">
        <v>196</v>
      </c>
      <c r="B197" s="5" t="s">
        <v>201</v>
      </c>
      <c r="C197" s="5" t="s">
        <v>19</v>
      </c>
      <c r="D197" s="4">
        <v>35</v>
      </c>
      <c r="E197" s="4">
        <v>20</v>
      </c>
      <c r="F197" s="2">
        <f>Table1[[#This Row],[Price]]*Table1[[#This Row],[Stock_Quantity]]</f>
        <v>700</v>
      </c>
      <c r="G197" s="2" t="str">
        <f>IF(Table1[[#This Row],[Stock_Quantity]]&lt;50,"Low",IF(Table1[[#This Row],[Stock_Quantity]]&lt;=150,"Medium","High"))</f>
        <v>Low</v>
      </c>
    </row>
    <row r="198" spans="1:7" x14ac:dyDescent="0.3">
      <c r="A198" s="4">
        <v>197</v>
      </c>
      <c r="B198" s="5" t="s">
        <v>202</v>
      </c>
      <c r="C198" s="5" t="s">
        <v>3</v>
      </c>
      <c r="D198" s="4">
        <v>15</v>
      </c>
      <c r="E198" s="4">
        <v>60</v>
      </c>
      <c r="F198" s="2">
        <f>Table1[[#This Row],[Price]]*Table1[[#This Row],[Stock_Quantity]]</f>
        <v>900</v>
      </c>
      <c r="G198" s="2" t="str">
        <f>IF(Table1[[#This Row],[Stock_Quantity]]&lt;50,"Low",IF(Table1[[#This Row],[Stock_Quantity]]&lt;=150,"Medium","High"))</f>
        <v>Medium</v>
      </c>
    </row>
    <row r="199" spans="1:7" x14ac:dyDescent="0.3">
      <c r="A199" s="4">
        <v>198</v>
      </c>
      <c r="B199" s="5" t="s">
        <v>203</v>
      </c>
      <c r="C199" s="5" t="s">
        <v>1</v>
      </c>
      <c r="D199" s="4">
        <v>1.5</v>
      </c>
      <c r="E199" s="4">
        <v>200</v>
      </c>
      <c r="F199" s="2">
        <f>Table1[[#This Row],[Price]]*Table1[[#This Row],[Stock_Quantity]]</f>
        <v>300</v>
      </c>
      <c r="G199" s="2" t="str">
        <f>IF(Table1[[#This Row],[Stock_Quantity]]&lt;50,"Low",IF(Table1[[#This Row],[Stock_Quantity]]&lt;=150,"Medium","High"))</f>
        <v>High</v>
      </c>
    </row>
    <row r="200" spans="1:7" x14ac:dyDescent="0.3">
      <c r="A200" s="4">
        <v>199</v>
      </c>
      <c r="B200" s="5" t="s">
        <v>204</v>
      </c>
      <c r="C200" s="5" t="s">
        <v>7</v>
      </c>
      <c r="D200" s="4">
        <v>25</v>
      </c>
      <c r="E200" s="4">
        <v>30</v>
      </c>
      <c r="F200" s="2">
        <f>Table1[[#This Row],[Price]]*Table1[[#This Row],[Stock_Quantity]]</f>
        <v>750</v>
      </c>
      <c r="G200" s="2" t="str">
        <f>IF(Table1[[#This Row],[Stock_Quantity]]&lt;50,"Low",IF(Table1[[#This Row],[Stock_Quantity]]&lt;=150,"Medium","High"))</f>
        <v>Low</v>
      </c>
    </row>
    <row r="201" spans="1:7" x14ac:dyDescent="0.3">
      <c r="A201" s="4">
        <v>200</v>
      </c>
      <c r="B201" s="5" t="s">
        <v>205</v>
      </c>
      <c r="C201" s="5" t="s">
        <v>5</v>
      </c>
      <c r="D201" s="4">
        <v>110</v>
      </c>
      <c r="E201" s="4">
        <v>25</v>
      </c>
      <c r="F201" s="2">
        <f>Table1[[#This Row],[Price]]*Table1[[#This Row],[Stock_Quantity]]</f>
        <v>2750</v>
      </c>
      <c r="G201" s="2" t="str">
        <f>IF(Table1[[#This Row],[Stock_Quantity]]&lt;50,"Low",IF(Table1[[#This Row],[Stock_Quantity]]&lt;=150,"Medium","High"))</f>
        <v>Low</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4195-3DB3-473B-8290-9A0D023CDD6D}">
  <dimension ref="A1:BJ41"/>
  <sheetViews>
    <sheetView showGridLines="0" tabSelected="1" zoomScale="57" zoomScaleNormal="85" workbookViewId="0">
      <selection activeCell="V12" sqref="V12"/>
    </sheetView>
  </sheetViews>
  <sheetFormatPr defaultRowHeight="14.4" x14ac:dyDescent="0.3"/>
  <sheetData>
    <row r="1" spans="1:62" ht="14.4" customHeight="1" x14ac:dyDescent="0.3">
      <c r="A1" s="11" t="s">
        <v>219</v>
      </c>
      <c r="B1" s="12"/>
      <c r="C1" s="12"/>
      <c r="D1" s="12"/>
      <c r="E1" s="12"/>
      <c r="F1" s="12"/>
      <c r="G1" s="12"/>
      <c r="H1" s="12"/>
      <c r="I1" s="12"/>
      <c r="J1" s="12"/>
      <c r="K1" s="12"/>
      <c r="L1" s="12"/>
      <c r="M1" s="12"/>
      <c r="N1" s="12"/>
      <c r="O1" s="12"/>
      <c r="P1" s="12"/>
      <c r="Q1" s="12"/>
      <c r="R1" s="12"/>
      <c r="S1" s="12"/>
      <c r="T1" s="13"/>
      <c r="BJ1" s="9">
        <f>KPIs!A4</f>
        <v>200</v>
      </c>
    </row>
    <row r="2" spans="1:62" ht="15" customHeight="1" thickBot="1" x14ac:dyDescent="0.35">
      <c r="A2" s="14"/>
      <c r="B2" s="15"/>
      <c r="C2" s="15"/>
      <c r="D2" s="15"/>
      <c r="E2" s="15"/>
      <c r="F2" s="15"/>
      <c r="G2" s="15"/>
      <c r="H2" s="15"/>
      <c r="I2" s="15"/>
      <c r="J2" s="15"/>
      <c r="K2" s="15"/>
      <c r="L2" s="15"/>
      <c r="M2" s="15"/>
      <c r="N2" s="15"/>
      <c r="O2" s="15"/>
      <c r="P2" s="15"/>
      <c r="Q2" s="15"/>
      <c r="R2" s="15"/>
      <c r="S2" s="15"/>
      <c r="T2" s="16"/>
    </row>
    <row r="3" spans="1:62" x14ac:dyDescent="0.3">
      <c r="A3" s="17"/>
      <c r="B3" s="17"/>
      <c r="C3" s="17"/>
      <c r="D3" s="17"/>
      <c r="E3" s="17"/>
      <c r="F3" s="17"/>
      <c r="G3" s="17"/>
      <c r="H3" s="17"/>
      <c r="I3" s="17"/>
      <c r="J3" s="17"/>
      <c r="K3" s="17"/>
      <c r="L3" s="17"/>
      <c r="M3" s="17"/>
      <c r="N3" s="17"/>
      <c r="O3" s="17"/>
      <c r="P3" s="17"/>
      <c r="Q3" s="17"/>
      <c r="R3" s="17"/>
      <c r="S3" s="17"/>
      <c r="T3" s="17"/>
    </row>
    <row r="4" spans="1:62" x14ac:dyDescent="0.3">
      <c r="A4" s="18"/>
      <c r="B4" s="18"/>
      <c r="C4" s="18"/>
      <c r="D4" s="18"/>
      <c r="E4" s="18"/>
      <c r="F4" s="18"/>
      <c r="G4" s="18"/>
      <c r="H4" s="18"/>
      <c r="I4" s="18"/>
      <c r="J4" s="18"/>
      <c r="K4" s="18"/>
      <c r="L4" s="18"/>
      <c r="M4" s="18"/>
      <c r="N4" s="18"/>
      <c r="O4" s="18"/>
      <c r="P4" s="18"/>
      <c r="Q4" s="18"/>
      <c r="R4" s="18"/>
      <c r="S4" s="18"/>
      <c r="T4" s="18"/>
    </row>
    <row r="5" spans="1:62" x14ac:dyDescent="0.3">
      <c r="A5" s="18"/>
      <c r="B5" s="18"/>
      <c r="C5" s="18"/>
      <c r="D5" s="18"/>
      <c r="E5" s="18"/>
      <c r="F5" s="18"/>
      <c r="G5" s="18"/>
      <c r="H5" s="18"/>
      <c r="I5" s="18"/>
      <c r="J5" s="18"/>
      <c r="K5" s="18"/>
      <c r="L5" s="18"/>
      <c r="M5" s="18"/>
      <c r="N5" s="18"/>
      <c r="O5" s="18"/>
      <c r="P5" s="18"/>
      <c r="Q5" s="18"/>
      <c r="R5" s="18"/>
      <c r="S5" s="18"/>
      <c r="T5" s="18"/>
    </row>
    <row r="6" spans="1:62" x14ac:dyDescent="0.3">
      <c r="A6" s="18"/>
      <c r="B6" s="18"/>
      <c r="C6" s="18"/>
      <c r="D6" s="18"/>
      <c r="E6" s="18"/>
      <c r="F6" s="18"/>
      <c r="G6" s="18"/>
      <c r="H6" s="18"/>
      <c r="I6" s="18"/>
      <c r="J6" s="18"/>
      <c r="K6" s="18"/>
      <c r="L6" s="18"/>
      <c r="M6" s="18"/>
      <c r="N6" s="18"/>
      <c r="O6" s="18"/>
      <c r="P6" s="18"/>
      <c r="Q6" s="18"/>
      <c r="R6" s="18"/>
      <c r="S6" s="18"/>
      <c r="T6" s="18"/>
    </row>
    <row r="7" spans="1:62" x14ac:dyDescent="0.3">
      <c r="A7" s="18"/>
      <c r="B7" s="18"/>
      <c r="C7" s="18"/>
      <c r="D7" s="18"/>
      <c r="E7" s="18"/>
      <c r="F7" s="18"/>
      <c r="G7" s="18"/>
      <c r="H7" s="18"/>
      <c r="I7" s="18"/>
      <c r="J7" s="18"/>
      <c r="K7" s="18"/>
      <c r="L7" s="18"/>
      <c r="M7" s="18"/>
      <c r="N7" s="18"/>
      <c r="O7" s="18"/>
      <c r="P7" s="18"/>
      <c r="Q7" s="18"/>
      <c r="R7" s="18"/>
      <c r="S7" s="18"/>
      <c r="T7" s="18"/>
    </row>
    <row r="8" spans="1:62" x14ac:dyDescent="0.3">
      <c r="A8" s="18"/>
      <c r="B8" s="18"/>
      <c r="C8" s="18"/>
      <c r="D8" s="18"/>
      <c r="E8" s="18"/>
      <c r="F8" s="18"/>
      <c r="G8" s="18"/>
      <c r="H8" s="18"/>
      <c r="I8" s="18"/>
      <c r="J8" s="18"/>
      <c r="K8" s="18"/>
      <c r="L8" s="18"/>
      <c r="M8" s="18"/>
      <c r="N8" s="18"/>
      <c r="O8" s="18"/>
      <c r="P8" s="18"/>
      <c r="Q8" s="18"/>
      <c r="R8" s="18"/>
      <c r="S8" s="18"/>
      <c r="T8" s="18"/>
    </row>
    <row r="9" spans="1:62" x14ac:dyDescent="0.3">
      <c r="A9" s="18"/>
      <c r="B9" s="18"/>
      <c r="C9" s="18"/>
      <c r="D9" s="18"/>
      <c r="E9" s="18"/>
      <c r="F9" s="18"/>
      <c r="G9" s="18"/>
      <c r="H9" s="18"/>
      <c r="I9" s="18"/>
      <c r="J9" s="18"/>
      <c r="K9" s="18"/>
      <c r="L9" s="18"/>
      <c r="M9" s="18"/>
      <c r="N9" s="18"/>
      <c r="O9" s="18"/>
      <c r="P9" s="18"/>
      <c r="Q9" s="18"/>
      <c r="R9" s="18"/>
      <c r="S9" s="18"/>
      <c r="T9" s="18"/>
    </row>
    <row r="10" spans="1:62" x14ac:dyDescent="0.3">
      <c r="A10" s="18"/>
      <c r="B10" s="18"/>
      <c r="C10" s="18"/>
      <c r="D10" s="18"/>
      <c r="E10" s="18"/>
      <c r="F10" s="18"/>
      <c r="G10" s="18"/>
      <c r="H10" s="18"/>
      <c r="I10" s="18"/>
      <c r="J10" s="18"/>
      <c r="K10" s="18"/>
      <c r="L10" s="18"/>
      <c r="M10" s="18"/>
      <c r="N10" s="18"/>
      <c r="O10" s="18"/>
      <c r="P10" s="18"/>
      <c r="Q10" s="18"/>
      <c r="R10" s="18"/>
      <c r="S10" s="18"/>
      <c r="T10" s="18"/>
    </row>
    <row r="11" spans="1:62" x14ac:dyDescent="0.3">
      <c r="A11" s="18"/>
      <c r="B11" s="18"/>
      <c r="C11" s="18"/>
      <c r="D11" s="18"/>
      <c r="E11" s="18"/>
      <c r="F11" s="18"/>
      <c r="G11" s="18"/>
      <c r="H11" s="18"/>
      <c r="I11" s="18"/>
      <c r="J11" s="18"/>
      <c r="K11" s="18"/>
      <c r="L11" s="18"/>
      <c r="M11" s="18"/>
      <c r="N11" s="18"/>
      <c r="O11" s="18"/>
      <c r="P11" s="18"/>
      <c r="Q11" s="18"/>
      <c r="R11" s="18"/>
      <c r="S11" s="18"/>
      <c r="T11" s="18"/>
    </row>
    <row r="12" spans="1:62" x14ac:dyDescent="0.3">
      <c r="A12" s="18"/>
      <c r="B12" s="18"/>
      <c r="C12" s="18"/>
      <c r="D12" s="18"/>
      <c r="E12" s="18"/>
      <c r="F12" s="18"/>
      <c r="G12" s="18"/>
      <c r="H12" s="18"/>
      <c r="I12" s="18"/>
      <c r="J12" s="18"/>
      <c r="K12" s="18"/>
      <c r="L12" s="18"/>
      <c r="M12" s="18"/>
      <c r="N12" s="18"/>
      <c r="O12" s="18"/>
      <c r="P12" s="18"/>
      <c r="Q12" s="18"/>
      <c r="R12" s="18"/>
      <c r="S12" s="18"/>
      <c r="T12" s="18"/>
    </row>
    <row r="13" spans="1:62" x14ac:dyDescent="0.3">
      <c r="A13" s="18"/>
      <c r="B13" s="18"/>
      <c r="C13" s="18"/>
      <c r="D13" s="18"/>
      <c r="E13" s="18"/>
      <c r="F13" s="18"/>
      <c r="G13" s="18"/>
      <c r="H13" s="18"/>
      <c r="I13" s="18"/>
      <c r="J13" s="18"/>
      <c r="K13" s="18"/>
      <c r="L13" s="18"/>
      <c r="M13" s="18"/>
      <c r="N13" s="18"/>
      <c r="O13" s="18"/>
      <c r="P13" s="18"/>
      <c r="Q13" s="18"/>
      <c r="R13" s="18"/>
      <c r="S13" s="18"/>
      <c r="T13" s="18"/>
    </row>
    <row r="14" spans="1:62" x14ac:dyDescent="0.3">
      <c r="A14" s="18"/>
      <c r="B14" s="18"/>
      <c r="C14" s="18"/>
      <c r="D14" s="18"/>
      <c r="E14" s="18"/>
      <c r="F14" s="18"/>
      <c r="G14" s="18"/>
      <c r="H14" s="18"/>
      <c r="I14" s="18"/>
      <c r="J14" s="18"/>
      <c r="K14" s="18"/>
      <c r="L14" s="18"/>
      <c r="M14" s="18"/>
      <c r="N14" s="18"/>
      <c r="O14" s="18"/>
      <c r="P14" s="18"/>
      <c r="Q14" s="18"/>
      <c r="R14" s="18"/>
      <c r="S14" s="18"/>
      <c r="T14" s="18"/>
    </row>
    <row r="15" spans="1:62" x14ac:dyDescent="0.3">
      <c r="A15" s="18"/>
      <c r="B15" s="18"/>
      <c r="C15" s="18"/>
      <c r="D15" s="18"/>
      <c r="E15" s="18"/>
      <c r="F15" s="18"/>
      <c r="G15" s="18"/>
      <c r="H15" s="18"/>
      <c r="I15" s="18"/>
      <c r="J15" s="18"/>
      <c r="K15" s="18"/>
      <c r="L15" s="18"/>
      <c r="M15" s="18"/>
      <c r="N15" s="18"/>
      <c r="O15" s="18"/>
      <c r="P15" s="18"/>
      <c r="Q15" s="18"/>
      <c r="R15" s="18"/>
      <c r="S15" s="18"/>
      <c r="T15" s="18"/>
    </row>
    <row r="16" spans="1:62" x14ac:dyDescent="0.3">
      <c r="A16" s="18"/>
      <c r="B16" s="18"/>
      <c r="C16" s="18"/>
      <c r="D16" s="18"/>
      <c r="E16" s="18"/>
      <c r="F16" s="18"/>
      <c r="G16" s="18"/>
      <c r="H16" s="18"/>
      <c r="I16" s="18"/>
      <c r="J16" s="18"/>
      <c r="K16" s="18"/>
      <c r="L16" s="18"/>
      <c r="M16" s="18"/>
      <c r="N16" s="18"/>
      <c r="O16" s="18"/>
      <c r="P16" s="18"/>
      <c r="Q16" s="18"/>
      <c r="R16" s="18"/>
      <c r="S16" s="18"/>
      <c r="T16" s="18"/>
    </row>
    <row r="17" spans="1:20" x14ac:dyDescent="0.3">
      <c r="A17" s="18"/>
      <c r="B17" s="18"/>
      <c r="C17" s="18"/>
      <c r="D17" s="18"/>
      <c r="E17" s="18"/>
      <c r="F17" s="18"/>
      <c r="G17" s="18"/>
      <c r="H17" s="18"/>
      <c r="I17" s="18"/>
      <c r="J17" s="18"/>
      <c r="K17" s="18"/>
      <c r="L17" s="18"/>
      <c r="M17" s="18"/>
      <c r="N17" s="18"/>
      <c r="O17" s="18"/>
      <c r="P17" s="18"/>
      <c r="Q17" s="18"/>
      <c r="R17" s="18"/>
      <c r="S17" s="18"/>
      <c r="T17" s="18"/>
    </row>
    <row r="18" spans="1:20" x14ac:dyDescent="0.3">
      <c r="A18" s="18"/>
      <c r="B18" s="18"/>
      <c r="C18" s="18"/>
      <c r="D18" s="18"/>
      <c r="E18" s="18"/>
      <c r="F18" s="18"/>
      <c r="G18" s="18"/>
      <c r="H18" s="18"/>
      <c r="I18" s="18"/>
      <c r="J18" s="18"/>
      <c r="K18" s="18"/>
      <c r="L18" s="18"/>
      <c r="M18" s="18"/>
      <c r="N18" s="18"/>
      <c r="O18" s="18"/>
      <c r="P18" s="18"/>
      <c r="Q18" s="18"/>
      <c r="R18" s="18"/>
      <c r="S18" s="18"/>
      <c r="T18" s="18"/>
    </row>
    <row r="19" spans="1:20" x14ac:dyDescent="0.3">
      <c r="A19" s="18"/>
      <c r="B19" s="18"/>
      <c r="C19" s="18"/>
      <c r="D19" s="18"/>
      <c r="E19" s="18"/>
      <c r="F19" s="18"/>
      <c r="G19" s="18"/>
      <c r="H19" s="18"/>
      <c r="I19" s="18"/>
      <c r="J19" s="18"/>
      <c r="K19" s="18"/>
      <c r="L19" s="18"/>
      <c r="M19" s="18"/>
      <c r="N19" s="18"/>
      <c r="O19" s="18"/>
      <c r="P19" s="18"/>
      <c r="Q19" s="18"/>
      <c r="R19" s="18"/>
      <c r="S19" s="18"/>
      <c r="T19" s="18"/>
    </row>
    <row r="20" spans="1:20" x14ac:dyDescent="0.3">
      <c r="A20" s="18"/>
      <c r="B20" s="18"/>
      <c r="C20" s="18"/>
      <c r="D20" s="18"/>
      <c r="E20" s="18"/>
      <c r="F20" s="18"/>
      <c r="G20" s="18"/>
      <c r="H20" s="18"/>
      <c r="I20" s="18"/>
      <c r="J20" s="18"/>
      <c r="K20" s="18"/>
      <c r="L20" s="18"/>
      <c r="M20" s="18"/>
      <c r="N20" s="18"/>
      <c r="O20" s="18"/>
      <c r="P20" s="18"/>
      <c r="Q20" s="18"/>
      <c r="R20" s="18"/>
      <c r="S20" s="18"/>
      <c r="T20" s="18"/>
    </row>
    <row r="21" spans="1:20" x14ac:dyDescent="0.3">
      <c r="A21" s="18"/>
      <c r="B21" s="18"/>
      <c r="C21" s="18"/>
      <c r="D21" s="18"/>
      <c r="E21" s="18"/>
      <c r="F21" s="18"/>
      <c r="G21" s="18"/>
      <c r="H21" s="18"/>
      <c r="I21" s="18"/>
      <c r="J21" s="18"/>
      <c r="K21" s="18"/>
      <c r="L21" s="18"/>
      <c r="M21" s="18"/>
      <c r="N21" s="18"/>
      <c r="O21" s="18"/>
      <c r="P21" s="18"/>
      <c r="Q21" s="18"/>
      <c r="R21" s="18"/>
      <c r="S21" s="18"/>
      <c r="T21" s="18"/>
    </row>
    <row r="22" spans="1:20" x14ac:dyDescent="0.3">
      <c r="A22" s="18"/>
      <c r="B22" s="18"/>
      <c r="C22" s="18"/>
      <c r="D22" s="18"/>
      <c r="E22" s="18"/>
      <c r="F22" s="18"/>
      <c r="G22" s="18"/>
      <c r="H22" s="18"/>
      <c r="I22" s="18"/>
      <c r="J22" s="18"/>
      <c r="K22" s="18"/>
      <c r="L22" s="18"/>
      <c r="M22" s="18"/>
      <c r="N22" s="18"/>
      <c r="O22" s="18"/>
      <c r="P22" s="18"/>
      <c r="Q22" s="18"/>
      <c r="R22" s="18"/>
      <c r="S22" s="18"/>
      <c r="T22" s="18"/>
    </row>
    <row r="23" spans="1:20" x14ac:dyDescent="0.3">
      <c r="A23" s="18"/>
      <c r="B23" s="18"/>
      <c r="C23" s="18"/>
      <c r="D23" s="18"/>
      <c r="E23" s="18"/>
      <c r="F23" s="18"/>
      <c r="G23" s="18"/>
      <c r="H23" s="18"/>
      <c r="I23" s="18"/>
      <c r="J23" s="18"/>
      <c r="K23" s="18"/>
      <c r="L23" s="18"/>
      <c r="M23" s="18"/>
      <c r="N23" s="18"/>
      <c r="O23" s="18"/>
      <c r="P23" s="18"/>
      <c r="Q23" s="18"/>
      <c r="R23" s="18"/>
      <c r="S23" s="18"/>
      <c r="T23" s="18"/>
    </row>
    <row r="24" spans="1:20" x14ac:dyDescent="0.3">
      <c r="A24" s="18"/>
      <c r="B24" s="18"/>
      <c r="C24" s="18"/>
      <c r="D24" s="18"/>
      <c r="E24" s="18"/>
      <c r="F24" s="18"/>
      <c r="G24" s="18"/>
      <c r="H24" s="18"/>
      <c r="I24" s="18"/>
      <c r="J24" s="18"/>
      <c r="K24" s="18"/>
      <c r="L24" s="18"/>
      <c r="M24" s="18"/>
      <c r="N24" s="18"/>
      <c r="O24" s="18"/>
      <c r="P24" s="18"/>
      <c r="Q24" s="18"/>
      <c r="R24" s="18"/>
      <c r="S24" s="18"/>
      <c r="T24" s="18"/>
    </row>
    <row r="25" spans="1:20" x14ac:dyDescent="0.3">
      <c r="A25" s="18"/>
      <c r="B25" s="18"/>
      <c r="C25" s="18"/>
      <c r="D25" s="18"/>
      <c r="E25" s="18"/>
      <c r="F25" s="18"/>
      <c r="G25" s="18"/>
      <c r="H25" s="18"/>
      <c r="I25" s="18"/>
      <c r="J25" s="18"/>
      <c r="K25" s="18"/>
      <c r="L25" s="18"/>
      <c r="M25" s="18"/>
      <c r="N25" s="18"/>
      <c r="O25" s="18"/>
      <c r="P25" s="18"/>
      <c r="Q25" s="18"/>
      <c r="R25" s="18"/>
      <c r="S25" s="18"/>
      <c r="T25" s="18"/>
    </row>
    <row r="26" spans="1:20" x14ac:dyDescent="0.3">
      <c r="A26" s="18"/>
      <c r="B26" s="18"/>
      <c r="C26" s="18"/>
      <c r="D26" s="18"/>
      <c r="E26" s="18"/>
      <c r="F26" s="18"/>
      <c r="G26" s="18"/>
      <c r="H26" s="18"/>
      <c r="I26" s="18"/>
      <c r="J26" s="18"/>
      <c r="K26" s="18"/>
      <c r="L26" s="18"/>
      <c r="M26" s="18"/>
      <c r="N26" s="18"/>
      <c r="O26" s="18"/>
      <c r="P26" s="18"/>
      <c r="Q26" s="18"/>
      <c r="R26" s="18"/>
      <c r="S26" s="18"/>
      <c r="T26" s="18"/>
    </row>
    <row r="27" spans="1:20" x14ac:dyDescent="0.3">
      <c r="A27" s="18"/>
      <c r="B27" s="18"/>
      <c r="C27" s="18"/>
      <c r="D27" s="18"/>
      <c r="E27" s="18"/>
      <c r="F27" s="18"/>
      <c r="G27" s="18"/>
      <c r="H27" s="18"/>
      <c r="I27" s="18"/>
      <c r="J27" s="18"/>
      <c r="K27" s="18"/>
      <c r="L27" s="18"/>
      <c r="M27" s="18"/>
      <c r="N27" s="18"/>
      <c r="O27" s="18"/>
      <c r="P27" s="18"/>
      <c r="Q27" s="18"/>
      <c r="R27" s="18"/>
      <c r="S27" s="18"/>
      <c r="T27" s="18"/>
    </row>
    <row r="28" spans="1:20" x14ac:dyDescent="0.3">
      <c r="A28" s="18"/>
      <c r="B28" s="18"/>
      <c r="C28" s="18"/>
      <c r="D28" s="18"/>
      <c r="E28" s="18"/>
      <c r="F28" s="18"/>
      <c r="G28" s="18"/>
      <c r="H28" s="18"/>
      <c r="I28" s="18"/>
      <c r="J28" s="18"/>
      <c r="K28" s="18"/>
      <c r="L28" s="18"/>
      <c r="M28" s="18"/>
      <c r="N28" s="18"/>
      <c r="O28" s="18"/>
      <c r="P28" s="18"/>
      <c r="Q28" s="18"/>
      <c r="R28" s="18"/>
      <c r="S28" s="18"/>
      <c r="T28" s="18"/>
    </row>
    <row r="29" spans="1:20" x14ac:dyDescent="0.3">
      <c r="A29" s="18"/>
      <c r="B29" s="18"/>
      <c r="C29" s="18"/>
      <c r="D29" s="18"/>
      <c r="E29" s="18"/>
      <c r="F29" s="18"/>
      <c r="G29" s="18"/>
      <c r="H29" s="18"/>
      <c r="I29" s="18"/>
      <c r="J29" s="18"/>
      <c r="K29" s="18"/>
      <c r="L29" s="18"/>
      <c r="M29" s="18"/>
      <c r="N29" s="18"/>
      <c r="O29" s="18"/>
      <c r="P29" s="18"/>
      <c r="Q29" s="18"/>
      <c r="R29" s="18"/>
      <c r="S29" s="18"/>
      <c r="T29" s="18"/>
    </row>
    <row r="30" spans="1:20" x14ac:dyDescent="0.3">
      <c r="A30" s="18"/>
      <c r="B30" s="18"/>
      <c r="C30" s="18"/>
      <c r="D30" s="18"/>
      <c r="E30" s="18"/>
      <c r="F30" s="18"/>
      <c r="G30" s="18"/>
      <c r="H30" s="18"/>
      <c r="I30" s="18"/>
      <c r="J30" s="18"/>
      <c r="K30" s="18"/>
      <c r="L30" s="18"/>
      <c r="M30" s="18"/>
      <c r="N30" s="18"/>
      <c r="O30" s="18"/>
      <c r="P30" s="18"/>
      <c r="Q30" s="18"/>
      <c r="R30" s="18"/>
      <c r="S30" s="18"/>
      <c r="T30" s="18"/>
    </row>
    <row r="31" spans="1:20" x14ac:dyDescent="0.3">
      <c r="A31" s="18"/>
      <c r="B31" s="18"/>
      <c r="C31" s="18"/>
      <c r="D31" s="18"/>
      <c r="E31" s="18"/>
      <c r="F31" s="18"/>
      <c r="G31" s="18"/>
      <c r="H31" s="18"/>
      <c r="I31" s="18"/>
      <c r="J31" s="18"/>
      <c r="K31" s="18"/>
      <c r="L31" s="18"/>
      <c r="M31" s="18"/>
      <c r="N31" s="18"/>
      <c r="O31" s="18"/>
      <c r="P31" s="18"/>
      <c r="Q31" s="18"/>
      <c r="R31" s="18"/>
      <c r="S31" s="18"/>
      <c r="T31" s="18"/>
    </row>
    <row r="32" spans="1:20" x14ac:dyDescent="0.3">
      <c r="A32" s="18"/>
      <c r="B32" s="18"/>
      <c r="C32" s="18"/>
      <c r="D32" s="18"/>
      <c r="E32" s="18"/>
      <c r="F32" s="18"/>
      <c r="G32" s="18"/>
      <c r="H32" s="18"/>
      <c r="I32" s="18"/>
      <c r="J32" s="18"/>
      <c r="K32" s="18"/>
      <c r="L32" s="18"/>
      <c r="M32" s="18"/>
      <c r="N32" s="18"/>
      <c r="O32" s="18"/>
      <c r="P32" s="18"/>
      <c r="Q32" s="18"/>
      <c r="R32" s="18"/>
      <c r="S32" s="18"/>
      <c r="T32" s="18"/>
    </row>
    <row r="33" spans="1:20" x14ac:dyDescent="0.3">
      <c r="A33" s="18"/>
      <c r="B33" s="18"/>
      <c r="C33" s="18"/>
      <c r="D33" s="18"/>
      <c r="E33" s="18"/>
      <c r="F33" s="18"/>
      <c r="G33" s="18"/>
      <c r="H33" s="18"/>
      <c r="I33" s="18"/>
      <c r="J33" s="18"/>
      <c r="K33" s="18"/>
      <c r="L33" s="18"/>
      <c r="M33" s="18"/>
      <c r="N33" s="18"/>
      <c r="O33" s="18"/>
      <c r="P33" s="18"/>
      <c r="Q33" s="18"/>
      <c r="R33" s="18"/>
      <c r="S33" s="18"/>
      <c r="T33" s="18"/>
    </row>
    <row r="34" spans="1:20" x14ac:dyDescent="0.3">
      <c r="A34" s="18"/>
      <c r="B34" s="18"/>
      <c r="C34" s="18"/>
      <c r="D34" s="18"/>
      <c r="E34" s="18"/>
      <c r="F34" s="18"/>
      <c r="G34" s="18"/>
      <c r="H34" s="18"/>
      <c r="I34" s="18"/>
      <c r="J34" s="18"/>
      <c r="K34" s="18"/>
      <c r="L34" s="18"/>
      <c r="M34" s="18"/>
      <c r="N34" s="18"/>
      <c r="O34" s="18"/>
      <c r="P34" s="18"/>
      <c r="Q34" s="18"/>
      <c r="R34" s="18"/>
      <c r="S34" s="18"/>
      <c r="T34" s="18"/>
    </row>
    <row r="35" spans="1:20" x14ac:dyDescent="0.3">
      <c r="A35" s="18"/>
      <c r="B35" s="18"/>
      <c r="C35" s="18"/>
      <c r="D35" s="18"/>
      <c r="E35" s="18"/>
      <c r="F35" s="18"/>
      <c r="G35" s="18"/>
      <c r="H35" s="18"/>
      <c r="I35" s="18"/>
      <c r="J35" s="18"/>
      <c r="K35" s="18"/>
      <c r="L35" s="18"/>
      <c r="M35" s="18"/>
      <c r="N35" s="18"/>
      <c r="O35" s="18"/>
      <c r="P35" s="18"/>
      <c r="Q35" s="18"/>
      <c r="R35" s="18"/>
      <c r="S35" s="18"/>
      <c r="T35" s="18"/>
    </row>
    <row r="36" spans="1:20" x14ac:dyDescent="0.3">
      <c r="A36" s="18"/>
      <c r="B36" s="18"/>
      <c r="C36" s="18"/>
      <c r="D36" s="18"/>
      <c r="E36" s="18"/>
      <c r="F36" s="18"/>
      <c r="G36" s="18"/>
      <c r="H36" s="18"/>
      <c r="I36" s="18"/>
      <c r="J36" s="18"/>
      <c r="K36" s="18"/>
      <c r="L36" s="18"/>
      <c r="M36" s="18"/>
      <c r="N36" s="18"/>
      <c r="O36" s="18"/>
      <c r="P36" s="18"/>
      <c r="Q36" s="18"/>
      <c r="R36" s="18"/>
      <c r="S36" s="18"/>
      <c r="T36" s="18"/>
    </row>
    <row r="37" spans="1:20" x14ac:dyDescent="0.3">
      <c r="A37" s="18"/>
      <c r="B37" s="18"/>
      <c r="C37" s="18"/>
      <c r="D37" s="18"/>
      <c r="E37" s="18"/>
      <c r="F37" s="18"/>
      <c r="G37" s="18"/>
      <c r="H37" s="18"/>
      <c r="I37" s="18"/>
      <c r="J37" s="18"/>
      <c r="K37" s="18"/>
      <c r="L37" s="18"/>
      <c r="M37" s="18"/>
      <c r="N37" s="18"/>
      <c r="O37" s="18"/>
      <c r="P37" s="18"/>
      <c r="Q37" s="18"/>
      <c r="R37" s="18"/>
      <c r="S37" s="18"/>
      <c r="T37" s="18"/>
    </row>
    <row r="38" spans="1:20" x14ac:dyDescent="0.3">
      <c r="A38" s="18"/>
      <c r="B38" s="18"/>
      <c r="C38" s="18"/>
      <c r="D38" s="18"/>
      <c r="E38" s="18"/>
      <c r="F38" s="18"/>
      <c r="G38" s="18"/>
      <c r="H38" s="18"/>
      <c r="I38" s="18"/>
      <c r="J38" s="18"/>
      <c r="K38" s="18"/>
      <c r="L38" s="18"/>
      <c r="M38" s="18"/>
      <c r="N38" s="18"/>
      <c r="O38" s="18"/>
      <c r="P38" s="18"/>
      <c r="Q38" s="18"/>
      <c r="R38" s="18"/>
      <c r="S38" s="18"/>
      <c r="T38" s="18"/>
    </row>
    <row r="39" spans="1:20" x14ac:dyDescent="0.3">
      <c r="A39" s="18"/>
      <c r="B39" s="18"/>
      <c r="C39" s="18"/>
      <c r="D39" s="18"/>
      <c r="E39" s="18"/>
      <c r="F39" s="18"/>
      <c r="G39" s="18"/>
      <c r="H39" s="18"/>
      <c r="I39" s="18"/>
      <c r="J39" s="18"/>
      <c r="K39" s="18"/>
      <c r="L39" s="18"/>
      <c r="M39" s="18"/>
      <c r="N39" s="18"/>
      <c r="O39" s="18"/>
      <c r="P39" s="18"/>
      <c r="Q39" s="18"/>
      <c r="R39" s="18"/>
      <c r="S39" s="18"/>
      <c r="T39" s="18"/>
    </row>
    <row r="40" spans="1:20" x14ac:dyDescent="0.3">
      <c r="A40" s="18"/>
      <c r="B40" s="18"/>
      <c r="C40" s="18"/>
      <c r="D40" s="18"/>
      <c r="E40" s="18"/>
      <c r="F40" s="18"/>
      <c r="G40" s="18"/>
      <c r="H40" s="18"/>
      <c r="I40" s="18"/>
      <c r="J40" s="18"/>
      <c r="K40" s="18"/>
      <c r="L40" s="18"/>
      <c r="M40" s="18"/>
      <c r="N40" s="18"/>
      <c r="O40" s="18"/>
      <c r="P40" s="18"/>
      <c r="Q40" s="18"/>
      <c r="R40" s="18"/>
      <c r="S40" s="18"/>
      <c r="T40" s="18"/>
    </row>
    <row r="41" spans="1:20" x14ac:dyDescent="0.3">
      <c r="A41" s="18"/>
      <c r="B41" s="18"/>
      <c r="C41" s="18"/>
      <c r="D41" s="18"/>
      <c r="E41" s="18"/>
      <c r="F41" s="18"/>
      <c r="G41" s="18"/>
      <c r="H41" s="18"/>
      <c r="I41" s="18"/>
      <c r="J41" s="18"/>
      <c r="K41" s="18"/>
      <c r="L41" s="18"/>
      <c r="M41" s="18"/>
      <c r="N41" s="18"/>
      <c r="O41" s="18"/>
      <c r="P41" s="18"/>
      <c r="Q41" s="18"/>
      <c r="R41" s="18"/>
      <c r="S41" s="18"/>
      <c r="T41" s="18"/>
    </row>
  </sheetData>
  <mergeCells count="2">
    <mergeCell ref="A1:T2"/>
    <mergeCell ref="A3:T4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raw data</vt:lpstr>
      <vt:lpstr>KPIs</vt:lpstr>
      <vt:lpstr>Stock By Category</vt:lpstr>
      <vt:lpstr>Stock Value By Category</vt:lpstr>
      <vt:lpstr>Low Stock Products</vt:lpstr>
      <vt:lpstr>Top 10 Products By Stock Value </vt:lpstr>
      <vt:lpstr>Inventory Analysis</vt:lpstr>
      <vt:lpstr>Inventory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bhumika chitkara</dc:creator>
  <cp:lastModifiedBy>bhumika chitkara</cp:lastModifiedBy>
  <dcterms:created xsi:type="dcterms:W3CDTF">2026-01-20T13:55:30Z</dcterms:created>
  <dcterms:modified xsi:type="dcterms:W3CDTF">2026-02-07T16:10:19Z</dcterms:modified>
</cp:coreProperties>
</file>